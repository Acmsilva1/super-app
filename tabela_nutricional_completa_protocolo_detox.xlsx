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ela completa" sheetId="1" state="visible" r:id="rId1"/>
    <sheet xmlns:r="http://schemas.openxmlformats.org/officeDocument/2006/relationships" name="Fontes e critérios" sheetId="2" state="visible" r:id="rId2"/>
    <sheet xmlns:r="http://schemas.openxmlformats.org/officeDocument/2006/relationships" name="Resumo" sheetId="3" state="visible" r:id="rId3"/>
  </sheets>
  <definedNames>
    <definedName name="_xlnm._FilterDatabase" localSheetId="0" hidden="1">'Tabela completa'!$A$1:$N$122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8">
    <font>
      <name val="Calibri"/>
      <family val="2"/>
      <color theme="1"/>
      <sz val="11"/>
      <scheme val="minor"/>
    </font>
    <font>
      <b val="1"/>
      <color rgb="00FFFFFF"/>
    </font>
    <font>
      <color rgb="00008000"/>
    </font>
    <font>
      <color rgb="00000000"/>
    </font>
    <font>
      <color rgb="000000FF"/>
    </font>
    <font>
      <color rgb="00666666"/>
    </font>
    <font>
      <b val="1"/>
      <color rgb="00FFFFFF"/>
      <sz val="18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164" fontId="3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1" fillId="2" borderId="0" applyAlignment="1" pivotButton="0" quotePrefix="0" xfId="0">
      <alignment vertical="top" wrapText="1"/>
    </xf>
    <xf numFmtId="0" fontId="6" fillId="2" borderId="0" pivotButton="0" quotePrefix="0" xfId="0"/>
    <xf numFmtId="0" fontId="1" fillId="3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TabelaNutricional" displayName="TabelaNutricional" ref="A1:N122" headerRowCount="1">
  <autoFilter ref="A1:N122"/>
  <tableColumns count="14">
    <tableColumn id="1" name="Categoria"/>
    <tableColumn id="2" name="Alimento"/>
    <tableColumn id="3" name="Porção no protocolo"/>
    <tableColumn id="4" name="Peso usado (g/ml)"/>
    <tableColumn id="5" name="kcal / 100 g"/>
    <tableColumn id="6" name="Proteína / 100 g (g)"/>
    <tableColumn id="7" name="Carboidrato / 100 g (g)"/>
    <tableColumn id="8" name="Gordura / 100 g (g)"/>
    <tableColumn id="9" name="kcal / porção"/>
    <tableColumn id="10" name="Proteína / porção (g)"/>
    <tableColumn id="11" name="Carboidrato / porção (g)"/>
    <tableColumn id="12" name="Gordura / porção (g)"/>
    <tableColumn id="13" name="Observações"/>
    <tableColumn id="14" name="Fonte nutricional"/>
  </tableColumns>
  <tableStyleInfo name="TableStyleMedium2" showFirstColumn="0" showLastColumn="0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2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32" customWidth="1" min="2" max="2"/>
    <col width="25" customWidth="1" min="3" max="3"/>
    <col width="18" customWidth="1" min="4" max="4"/>
    <col width="15" customWidth="1" min="5" max="5"/>
    <col width="20" customWidth="1" min="6" max="6"/>
    <col width="23" customWidth="1" min="7" max="7"/>
    <col width="20" customWidth="1" min="8" max="8"/>
    <col width="16" customWidth="1" min="9" max="9"/>
    <col width="20" customWidth="1" min="10" max="10"/>
    <col width="23" customWidth="1" min="11" max="11"/>
    <col width="20" customWidth="1" min="12" max="12"/>
    <col width="42" customWidth="1" min="13" max="13"/>
    <col width="40" customWidth="1" min="14" max="14"/>
  </cols>
  <sheetData>
    <row r="1">
      <c r="A1" s="1" t="inlineStr">
        <is>
          <t>Categoria</t>
        </is>
      </c>
      <c r="B1" s="1" t="inlineStr">
        <is>
          <t>Alimento</t>
        </is>
      </c>
      <c r="C1" s="1" t="inlineStr">
        <is>
          <t>Porção no protocolo</t>
        </is>
      </c>
      <c r="D1" s="1" t="inlineStr">
        <is>
          <t>Peso usado (g/ml)</t>
        </is>
      </c>
      <c r="E1" s="1" t="inlineStr">
        <is>
          <t>kcal / 100 g</t>
        </is>
      </c>
      <c r="F1" s="1" t="inlineStr">
        <is>
          <t>Proteína / 100 g (g)</t>
        </is>
      </c>
      <c r="G1" s="1" t="inlineStr">
        <is>
          <t>Carboidrato / 100 g (g)</t>
        </is>
      </c>
      <c r="H1" s="1" t="inlineStr">
        <is>
          <t>Gordura / 100 g (g)</t>
        </is>
      </c>
      <c r="I1" s="1" t="inlineStr">
        <is>
          <t>kcal / porção</t>
        </is>
      </c>
      <c r="J1" s="1" t="inlineStr">
        <is>
          <t>Proteína / porção (g)</t>
        </is>
      </c>
      <c r="K1" s="1" t="inlineStr">
        <is>
          <t>Carboidrato / porção (g)</t>
        </is>
      </c>
      <c r="L1" s="1" t="inlineStr">
        <is>
          <t>Gordura / porção (g)</t>
        </is>
      </c>
      <c r="M1" s="1" t="inlineStr">
        <is>
          <t>Observações</t>
        </is>
      </c>
      <c r="N1" s="1" t="inlineStr">
        <is>
          <t>Fonte nutricional</t>
        </is>
      </c>
    </row>
    <row r="2">
      <c r="A2" s="2" t="inlineStr">
        <is>
          <t>Proteínas</t>
        </is>
      </c>
      <c r="B2" s="2" t="inlineStr">
        <is>
          <t>Peito de frango grelhado</t>
        </is>
      </c>
      <c r="C2" s="2" t="inlineStr">
        <is>
          <t>100 g</t>
        </is>
      </c>
      <c r="D2" s="3" t="n">
        <v>100</v>
      </c>
      <c r="E2" s="4" t="n">
        <v>165</v>
      </c>
      <c r="F2" s="4" t="n">
        <v>31</v>
      </c>
      <c r="G2" s="4" t="n">
        <v>0</v>
      </c>
      <c r="H2" s="4" t="n">
        <v>3.6</v>
      </c>
      <c r="I2" s="5">
        <f>IF(D2="","",E2*D2/100)</f>
        <v/>
      </c>
      <c r="J2" s="5">
        <f>IF(D2="","",F2*D2/100)</f>
        <v/>
      </c>
      <c r="K2" s="5">
        <f>IF(D2="","",G2*D2/100)</f>
        <v/>
      </c>
      <c r="L2" s="5">
        <f>IF(D2="","",H2*D2/100)</f>
        <v/>
      </c>
      <c r="M2" s="2" t="inlineStr"/>
      <c r="N2" s="2" t="inlineStr">
        <is>
          <t>TBCA/TACO; USDA FoodData Central (complementar)</t>
        </is>
      </c>
    </row>
    <row r="3">
      <c r="A3" s="2" t="inlineStr">
        <is>
          <t>Proteínas</t>
        </is>
      </c>
      <c r="B3" s="2" t="inlineStr">
        <is>
          <t>Coxa/sobrecoxa de frango sem pele</t>
        </is>
      </c>
      <c r="C3" s="2" t="inlineStr">
        <is>
          <t>90 g</t>
        </is>
      </c>
      <c r="D3" s="3" t="n">
        <v>90</v>
      </c>
      <c r="E3" s="4" t="n">
        <v>209</v>
      </c>
      <c r="F3" s="4" t="n">
        <v>26</v>
      </c>
      <c r="G3" s="4" t="n">
        <v>0</v>
      </c>
      <c r="H3" s="4" t="n">
        <v>10.9</v>
      </c>
      <c r="I3" s="5">
        <f>IF(D3="","",E3*D3/100)</f>
        <v/>
      </c>
      <c r="J3" s="5">
        <f>IF(D3="","",F3*D3/100)</f>
        <v/>
      </c>
      <c r="K3" s="5">
        <f>IF(D3="","",G3*D3/100)</f>
        <v/>
      </c>
      <c r="L3" s="5">
        <f>IF(D3="","",H3*D3/100)</f>
        <v/>
      </c>
      <c r="M3" s="2" t="inlineStr"/>
      <c r="N3" s="2" t="inlineStr">
        <is>
          <t>TBCA/TACO; USDA FoodData Central (complementar)</t>
        </is>
      </c>
    </row>
    <row r="4">
      <c r="A4" s="2" t="inlineStr">
        <is>
          <t>Proteínas</t>
        </is>
      </c>
      <c r="B4" s="2" t="inlineStr">
        <is>
          <t>Peru grelhado</t>
        </is>
      </c>
      <c r="C4" s="2" t="inlineStr">
        <is>
          <t>100 g</t>
        </is>
      </c>
      <c r="D4" s="3" t="n">
        <v>100</v>
      </c>
      <c r="E4" s="4" t="n">
        <v>135</v>
      </c>
      <c r="F4" s="4" t="n">
        <v>29</v>
      </c>
      <c r="G4" s="4" t="n">
        <v>0</v>
      </c>
      <c r="H4" s="4" t="n">
        <v>1.6</v>
      </c>
      <c r="I4" s="5">
        <f>IF(D4="","",E4*D4/100)</f>
        <v/>
      </c>
      <c r="J4" s="5">
        <f>IF(D4="","",F4*D4/100)</f>
        <v/>
      </c>
      <c r="K4" s="5">
        <f>IF(D4="","",G4*D4/100)</f>
        <v/>
      </c>
      <c r="L4" s="5">
        <f>IF(D4="","",H4*D4/100)</f>
        <v/>
      </c>
      <c r="M4" s="2" t="inlineStr"/>
      <c r="N4" s="2" t="inlineStr">
        <is>
          <t>TBCA/TACO; USDA FoodData Central (complementar)</t>
        </is>
      </c>
    </row>
    <row r="5">
      <c r="A5" s="2" t="inlineStr">
        <is>
          <t>Proteínas</t>
        </is>
      </c>
      <c r="B5" s="2" t="inlineStr">
        <is>
          <t>Tilápia grelhada</t>
        </is>
      </c>
      <c r="C5" s="2" t="inlineStr">
        <is>
          <t>120 g</t>
        </is>
      </c>
      <c r="D5" s="3" t="n">
        <v>120</v>
      </c>
      <c r="E5" s="4" t="n">
        <v>128</v>
      </c>
      <c r="F5" s="4" t="n">
        <v>26</v>
      </c>
      <c r="G5" s="4" t="n">
        <v>0</v>
      </c>
      <c r="H5" s="4" t="n">
        <v>2.7</v>
      </c>
      <c r="I5" s="5">
        <f>IF(D5="","",E5*D5/100)</f>
        <v/>
      </c>
      <c r="J5" s="5">
        <f>IF(D5="","",F5*D5/100)</f>
        <v/>
      </c>
      <c r="K5" s="5">
        <f>IF(D5="","",G5*D5/100)</f>
        <v/>
      </c>
      <c r="L5" s="5">
        <f>IF(D5="","",H5*D5/100)</f>
        <v/>
      </c>
      <c r="M5" s="2" t="inlineStr"/>
      <c r="N5" s="2" t="inlineStr">
        <is>
          <t>TBCA/TACO; USDA FoodData Central (complementar)</t>
        </is>
      </c>
    </row>
    <row r="6">
      <c r="A6" s="2" t="inlineStr">
        <is>
          <t>Proteínas</t>
        </is>
      </c>
      <c r="B6" s="2" t="inlineStr">
        <is>
          <t>Merluza cozida/grelhada</t>
        </is>
      </c>
      <c r="C6" s="2" t="inlineStr">
        <is>
          <t>120 g</t>
        </is>
      </c>
      <c r="D6" s="3" t="n">
        <v>120</v>
      </c>
      <c r="E6" s="4" t="n">
        <v>111</v>
      </c>
      <c r="F6" s="4" t="n">
        <v>23</v>
      </c>
      <c r="G6" s="4" t="n">
        <v>0</v>
      </c>
      <c r="H6" s="4" t="n">
        <v>1.8</v>
      </c>
      <c r="I6" s="5">
        <f>IF(D6="","",E6*D6/100)</f>
        <v/>
      </c>
      <c r="J6" s="5">
        <f>IF(D6="","",F6*D6/100)</f>
        <v/>
      </c>
      <c r="K6" s="5">
        <f>IF(D6="","",G6*D6/100)</f>
        <v/>
      </c>
      <c r="L6" s="5">
        <f>IF(D6="","",H6*D6/100)</f>
        <v/>
      </c>
      <c r="M6" s="2" t="inlineStr"/>
      <c r="N6" s="2" t="inlineStr">
        <is>
          <t>TBCA/TACO; USDA FoodData Central (complementar)</t>
        </is>
      </c>
    </row>
    <row r="7">
      <c r="A7" s="2" t="inlineStr">
        <is>
          <t>Proteínas</t>
        </is>
      </c>
      <c r="B7" s="2" t="inlineStr">
        <is>
          <t>Salmão grelhado</t>
        </is>
      </c>
      <c r="C7" s="2" t="inlineStr">
        <is>
          <t>75 g (70–80 g)</t>
        </is>
      </c>
      <c r="D7" s="3" t="n">
        <v>75</v>
      </c>
      <c r="E7" s="4" t="n">
        <v>206</v>
      </c>
      <c r="F7" s="4" t="n">
        <v>22</v>
      </c>
      <c r="G7" s="4" t="n">
        <v>0</v>
      </c>
      <c r="H7" s="4" t="n">
        <v>12.4</v>
      </c>
      <c r="I7" s="5">
        <f>IF(D7="","",E7*D7/100)</f>
        <v/>
      </c>
      <c r="J7" s="5">
        <f>IF(D7="","",F7*D7/100)</f>
        <v/>
      </c>
      <c r="K7" s="5">
        <f>IF(D7="","",G7*D7/100)</f>
        <v/>
      </c>
      <c r="L7" s="5">
        <f>IF(D7="","",H7*D7/100)</f>
        <v/>
      </c>
      <c r="M7" s="2" t="inlineStr"/>
      <c r="N7" s="2" t="inlineStr">
        <is>
          <t>TBCA/TACO; USDA FoodData Central (complementar)</t>
        </is>
      </c>
    </row>
    <row r="8">
      <c r="A8" s="2" t="inlineStr">
        <is>
          <t>Proteínas</t>
        </is>
      </c>
      <c r="B8" s="2" t="inlineStr">
        <is>
          <t>Sardinha grelhada</t>
        </is>
      </c>
      <c r="C8" s="2" t="inlineStr">
        <is>
          <t>90 g</t>
        </is>
      </c>
      <c r="D8" s="3" t="n">
        <v>90</v>
      </c>
      <c r="E8" s="4" t="n">
        <v>208</v>
      </c>
      <c r="F8" s="4" t="n">
        <v>25</v>
      </c>
      <c r="G8" s="4" t="n">
        <v>0</v>
      </c>
      <c r="H8" s="4" t="n">
        <v>11.5</v>
      </c>
      <c r="I8" s="5">
        <f>IF(D8="","",E8*D8/100)</f>
        <v/>
      </c>
      <c r="J8" s="5">
        <f>IF(D8="","",F8*D8/100)</f>
        <v/>
      </c>
      <c r="K8" s="5">
        <f>IF(D8="","",G8*D8/100)</f>
        <v/>
      </c>
      <c r="L8" s="5">
        <f>IF(D8="","",H8*D8/100)</f>
        <v/>
      </c>
      <c r="M8" s="2" t="inlineStr"/>
      <c r="N8" s="2" t="inlineStr">
        <is>
          <t>TBCA/TACO; USDA FoodData Central (complementar)</t>
        </is>
      </c>
    </row>
    <row r="9">
      <c r="A9" s="2" t="inlineStr">
        <is>
          <t>Proteínas</t>
        </is>
      </c>
      <c r="B9" s="2" t="inlineStr">
        <is>
          <t>Atum em lata em água</t>
        </is>
      </c>
      <c r="C9" s="2" t="inlineStr">
        <is>
          <t>120 g</t>
        </is>
      </c>
      <c r="D9" s="3" t="n">
        <v>120</v>
      </c>
      <c r="E9" s="4" t="n">
        <v>116</v>
      </c>
      <c r="F9" s="4" t="n">
        <v>25.5</v>
      </c>
      <c r="G9" s="4" t="n">
        <v>0</v>
      </c>
      <c r="H9" s="4" t="n">
        <v>0.8</v>
      </c>
      <c r="I9" s="5">
        <f>IF(D9="","",E9*D9/100)</f>
        <v/>
      </c>
      <c r="J9" s="5">
        <f>IF(D9="","",F9*D9/100)</f>
        <v/>
      </c>
      <c r="K9" s="5">
        <f>IF(D9="","",G9*D9/100)</f>
        <v/>
      </c>
      <c r="L9" s="5">
        <f>IF(D9="","",H9*D9/100)</f>
        <v/>
      </c>
      <c r="M9" s="2" t="inlineStr"/>
      <c r="N9" s="2" t="inlineStr">
        <is>
          <t>TBCA/TACO; USDA FoodData Central (complementar)</t>
        </is>
      </c>
    </row>
    <row r="10">
      <c r="A10" s="2" t="inlineStr">
        <is>
          <t>Proteínas</t>
        </is>
      </c>
      <c r="B10" s="2" t="inlineStr">
        <is>
          <t>Camarão cozido</t>
        </is>
      </c>
      <c r="C10" s="2" t="inlineStr">
        <is>
          <t>120 g</t>
        </is>
      </c>
      <c r="D10" s="3" t="n">
        <v>120</v>
      </c>
      <c r="E10" s="4" t="n">
        <v>99</v>
      </c>
      <c r="F10" s="4" t="n">
        <v>24</v>
      </c>
      <c r="G10" s="4" t="n">
        <v>0.2</v>
      </c>
      <c r="H10" s="4" t="n">
        <v>0.3</v>
      </c>
      <c r="I10" s="5">
        <f>IF(D10="","",E10*D10/100)</f>
        <v/>
      </c>
      <c r="J10" s="5">
        <f>IF(D10="","",F10*D10/100)</f>
        <v/>
      </c>
      <c r="K10" s="5">
        <f>IF(D10="","",G10*D10/100)</f>
        <v/>
      </c>
      <c r="L10" s="5">
        <f>IF(D10="","",H10*D10/100)</f>
        <v/>
      </c>
      <c r="M10" s="2" t="inlineStr"/>
      <c r="N10" s="2" t="inlineStr">
        <is>
          <t>TBCA/TACO; USDA FoodData Central (complementar)</t>
        </is>
      </c>
    </row>
    <row r="11">
      <c r="A11" s="2" t="inlineStr">
        <is>
          <t>Proteínas</t>
        </is>
      </c>
      <c r="B11" s="2" t="inlineStr">
        <is>
          <t>Ovo inteiro</t>
        </is>
      </c>
      <c r="C11" s="2" t="inlineStr">
        <is>
          <t>2 un (~100 g)</t>
        </is>
      </c>
      <c r="D11" s="3" t="n">
        <v>100</v>
      </c>
      <c r="E11" s="4" t="n">
        <v>143</v>
      </c>
      <c r="F11" s="4" t="n">
        <v>12.6</v>
      </c>
      <c r="G11" s="4" t="n">
        <v>0.7</v>
      </c>
      <c r="H11" s="4" t="n">
        <v>9.5</v>
      </c>
      <c r="I11" s="5">
        <f>IF(D11="","",E11*D11/100)</f>
        <v/>
      </c>
      <c r="J11" s="5">
        <f>IF(D11="","",F11*D11/100)</f>
        <v/>
      </c>
      <c r="K11" s="5">
        <f>IF(D11="","",G11*D11/100)</f>
        <v/>
      </c>
      <c r="L11" s="5">
        <f>IF(D11="","",H11*D11/100)</f>
        <v/>
      </c>
      <c r="M11" s="2" t="inlineStr"/>
      <c r="N11" s="2" t="inlineStr">
        <is>
          <t>TBCA/TACO; USDA FoodData Central (complementar)</t>
        </is>
      </c>
    </row>
    <row r="12">
      <c r="A12" s="2" t="inlineStr">
        <is>
          <t>Proteínas</t>
        </is>
      </c>
      <c r="B12" s="2" t="inlineStr">
        <is>
          <t>Clara de ovo</t>
        </is>
      </c>
      <c r="C12" s="2" t="inlineStr">
        <is>
          <t>6 un (~198 g)</t>
        </is>
      </c>
      <c r="D12" s="3" t="n">
        <v>198</v>
      </c>
      <c r="E12" s="4" t="n">
        <v>52</v>
      </c>
      <c r="F12" s="4" t="n">
        <v>10.9</v>
      </c>
      <c r="G12" s="4" t="n">
        <v>0.7</v>
      </c>
      <c r="H12" s="4" t="n">
        <v>0.2</v>
      </c>
      <c r="I12" s="5">
        <f>IF(D12="","",E12*D12/100)</f>
        <v/>
      </c>
      <c r="J12" s="5">
        <f>IF(D12="","",F12*D12/100)</f>
        <v/>
      </c>
      <c r="K12" s="5">
        <f>IF(D12="","",G12*D12/100)</f>
        <v/>
      </c>
      <c r="L12" s="5">
        <f>IF(D12="","",H12*D12/100)</f>
        <v/>
      </c>
      <c r="M12" s="2" t="inlineStr"/>
      <c r="N12" s="2" t="inlineStr">
        <is>
          <t>TBCA/TACO; USDA FoodData Central (complementar)</t>
        </is>
      </c>
    </row>
    <row r="13">
      <c r="A13" s="2" t="inlineStr">
        <is>
          <t>Proteínas</t>
        </is>
      </c>
      <c r="B13" s="2" t="inlineStr">
        <is>
          <t>Lombo suíno magro</t>
        </is>
      </c>
      <c r="C13" s="2" t="inlineStr">
        <is>
          <t>90 g</t>
        </is>
      </c>
      <c r="D13" s="3" t="n">
        <v>90</v>
      </c>
      <c r="E13" s="4" t="n">
        <v>196</v>
      </c>
      <c r="F13" s="4" t="n">
        <v>29</v>
      </c>
      <c r="G13" s="4" t="n">
        <v>0</v>
      </c>
      <c r="H13" s="4" t="n">
        <v>8</v>
      </c>
      <c r="I13" s="5">
        <f>IF(D13="","",E13*D13/100)</f>
        <v/>
      </c>
      <c r="J13" s="5">
        <f>IF(D13="","",F13*D13/100)</f>
        <v/>
      </c>
      <c r="K13" s="5">
        <f>IF(D13="","",G13*D13/100)</f>
        <v/>
      </c>
      <c r="L13" s="5">
        <f>IF(D13="","",H13*D13/100)</f>
        <v/>
      </c>
      <c r="M13" s="2" t="inlineStr"/>
      <c r="N13" s="2" t="inlineStr">
        <is>
          <t>TBCA/TACO; USDA FoodData Central (complementar)</t>
        </is>
      </c>
    </row>
    <row r="14">
      <c r="A14" s="2" t="inlineStr">
        <is>
          <t>Proteínas</t>
        </is>
      </c>
      <c r="B14" s="2" t="inlineStr">
        <is>
          <t>Tofu firme grelhado</t>
        </is>
      </c>
      <c r="C14" s="2" t="inlineStr">
        <is>
          <t>120 g</t>
        </is>
      </c>
      <c r="D14" s="3" t="n">
        <v>120</v>
      </c>
      <c r="E14" s="4" t="n">
        <v>144</v>
      </c>
      <c r="F14" s="4" t="n">
        <v>17.3</v>
      </c>
      <c r="G14" s="4" t="n">
        <v>2.8</v>
      </c>
      <c r="H14" s="4" t="n">
        <v>8.699999999999999</v>
      </c>
      <c r="I14" s="5">
        <f>IF(D14="","",E14*D14/100)</f>
        <v/>
      </c>
      <c r="J14" s="5">
        <f>IF(D14="","",F14*D14/100)</f>
        <v/>
      </c>
      <c r="K14" s="5">
        <f>IF(D14="","",G14*D14/100)</f>
        <v/>
      </c>
      <c r="L14" s="5">
        <f>IF(D14="","",H14*D14/100)</f>
        <v/>
      </c>
      <c r="M14" s="2" t="inlineStr"/>
      <c r="N14" s="2" t="inlineStr">
        <is>
          <t>TBCA/TACO; USDA FoodData Central (complementar)</t>
        </is>
      </c>
    </row>
    <row r="15">
      <c r="A15" s="2" t="inlineStr">
        <is>
          <t>Proteínas</t>
        </is>
      </c>
      <c r="B15" s="2" t="inlineStr">
        <is>
          <t>Bacon</t>
        </is>
      </c>
      <c r="C15" s="2" t="inlineStr">
        <is>
          <t>30 g</t>
        </is>
      </c>
      <c r="D15" s="3" t="n">
        <v>30</v>
      </c>
      <c r="E15" s="4" t="n">
        <v>541</v>
      </c>
      <c r="F15" s="4" t="n">
        <v>37</v>
      </c>
      <c r="G15" s="4" t="n">
        <v>1.4</v>
      </c>
      <c r="H15" s="4" t="n">
        <v>42</v>
      </c>
      <c r="I15" s="5">
        <f>IF(D15="","",E15*D15/100)</f>
        <v/>
      </c>
      <c r="J15" s="5">
        <f>IF(D15="","",F15*D15/100)</f>
        <v/>
      </c>
      <c r="K15" s="5">
        <f>IF(D15="","",G15*D15/100)</f>
        <v/>
      </c>
      <c r="L15" s="5">
        <f>IF(D15="","",H15*D15/100)</f>
        <v/>
      </c>
      <c r="M15" s="2" t="inlineStr">
        <is>
          <t>Varia muito por marca e preparo.</t>
        </is>
      </c>
      <c r="N15" s="2" t="inlineStr">
        <is>
          <t>TBCA/TACO; USDA FoodData Central (complementar)</t>
        </is>
      </c>
    </row>
    <row r="16">
      <c r="A16" s="2" t="inlineStr">
        <is>
          <t>Carboidratos complexos</t>
        </is>
      </c>
      <c r="B16" s="2" t="inlineStr">
        <is>
          <t>Arroz integral cozido</t>
        </is>
      </c>
      <c r="C16" s="2" t="inlineStr">
        <is>
          <t>120 g</t>
        </is>
      </c>
      <c r="D16" s="3" t="n">
        <v>120</v>
      </c>
      <c r="E16" s="4" t="n">
        <v>123</v>
      </c>
      <c r="F16" s="4" t="n">
        <v>2.7</v>
      </c>
      <c r="G16" s="4" t="n">
        <v>25.6</v>
      </c>
      <c r="H16" s="4" t="n">
        <v>1</v>
      </c>
      <c r="I16" s="5">
        <f>IF(D16="","",E16*D16/100)</f>
        <v/>
      </c>
      <c r="J16" s="5">
        <f>IF(D16="","",F16*D16/100)</f>
        <v/>
      </c>
      <c r="K16" s="5">
        <f>IF(D16="","",G16*D16/100)</f>
        <v/>
      </c>
      <c r="L16" s="5">
        <f>IF(D16="","",H16*D16/100)</f>
        <v/>
      </c>
      <c r="M16" s="2" t="inlineStr"/>
      <c r="N16" s="2" t="inlineStr">
        <is>
          <t>TBCA/TACO; USDA FoodData Central (complementar)</t>
        </is>
      </c>
    </row>
    <row r="17">
      <c r="A17" s="2" t="inlineStr">
        <is>
          <t>Carboidratos complexos</t>
        </is>
      </c>
      <c r="B17" s="2" t="inlineStr">
        <is>
          <t>Batata-doce cozida</t>
        </is>
      </c>
      <c r="C17" s="2" t="inlineStr">
        <is>
          <t>120 g</t>
        </is>
      </c>
      <c r="D17" s="3" t="n">
        <v>120</v>
      </c>
      <c r="E17" s="4" t="n">
        <v>76</v>
      </c>
      <c r="F17" s="4" t="n">
        <v>1.4</v>
      </c>
      <c r="G17" s="4" t="n">
        <v>17.7</v>
      </c>
      <c r="H17" s="4" t="n">
        <v>0.1</v>
      </c>
      <c r="I17" s="5">
        <f>IF(D17="","",E17*D17/100)</f>
        <v/>
      </c>
      <c r="J17" s="5">
        <f>IF(D17="","",F17*D17/100)</f>
        <v/>
      </c>
      <c r="K17" s="5">
        <f>IF(D17="","",G17*D17/100)</f>
        <v/>
      </c>
      <c r="L17" s="5">
        <f>IF(D17="","",H17*D17/100)</f>
        <v/>
      </c>
      <c r="M17" s="2" t="inlineStr"/>
      <c r="N17" s="2" t="inlineStr">
        <is>
          <t>TBCA/TACO; USDA FoodData Central (complementar)</t>
        </is>
      </c>
    </row>
    <row r="18">
      <c r="A18" s="2" t="inlineStr">
        <is>
          <t>Carboidratos complexos</t>
        </is>
      </c>
      <c r="B18" s="2" t="inlineStr">
        <is>
          <t>Batata inglesa cozida</t>
        </is>
      </c>
      <c r="C18" s="2" t="inlineStr">
        <is>
          <t>120 g</t>
        </is>
      </c>
      <c r="D18" s="3" t="n">
        <v>120</v>
      </c>
      <c r="E18" s="4" t="n">
        <v>87</v>
      </c>
      <c r="F18" s="4" t="n">
        <v>1.9</v>
      </c>
      <c r="G18" s="4" t="n">
        <v>20.1</v>
      </c>
      <c r="H18" s="4" t="n">
        <v>0.1</v>
      </c>
      <c r="I18" s="5">
        <f>IF(D18="","",E18*D18/100)</f>
        <v/>
      </c>
      <c r="J18" s="5">
        <f>IF(D18="","",F18*D18/100)</f>
        <v/>
      </c>
      <c r="K18" s="5">
        <f>IF(D18="","",G18*D18/100)</f>
        <v/>
      </c>
      <c r="L18" s="5">
        <f>IF(D18="","",H18*D18/100)</f>
        <v/>
      </c>
      <c r="M18" s="2" t="inlineStr"/>
      <c r="N18" s="2" t="inlineStr">
        <is>
          <t>TBCA/TACO; USDA FoodData Central (complementar)</t>
        </is>
      </c>
    </row>
    <row r="19">
      <c r="A19" s="2" t="inlineStr">
        <is>
          <t>Carboidratos complexos</t>
        </is>
      </c>
      <c r="B19" s="2" t="inlineStr">
        <is>
          <t>Inhame cozido</t>
        </is>
      </c>
      <c r="C19" s="2" t="inlineStr">
        <is>
          <t>100 g</t>
        </is>
      </c>
      <c r="D19" s="3" t="n">
        <v>100</v>
      </c>
      <c r="E19" s="4" t="n">
        <v>116</v>
      </c>
      <c r="F19" s="4" t="n">
        <v>1.5</v>
      </c>
      <c r="G19" s="4" t="n">
        <v>27.5</v>
      </c>
      <c r="H19" s="4" t="n">
        <v>0.1</v>
      </c>
      <c r="I19" s="5">
        <f>IF(D19="","",E19*D19/100)</f>
        <v/>
      </c>
      <c r="J19" s="5">
        <f>IF(D19="","",F19*D19/100)</f>
        <v/>
      </c>
      <c r="K19" s="5">
        <f>IF(D19="","",G19*D19/100)</f>
        <v/>
      </c>
      <c r="L19" s="5">
        <f>IF(D19="","",H19*D19/100)</f>
        <v/>
      </c>
      <c r="M19" s="2" t="inlineStr"/>
      <c r="N19" s="2" t="inlineStr">
        <is>
          <t>TBCA/TACO; USDA FoodData Central (complementar)</t>
        </is>
      </c>
    </row>
    <row r="20">
      <c r="A20" s="2" t="inlineStr">
        <is>
          <t>Carboidratos complexos</t>
        </is>
      </c>
      <c r="B20" s="2" t="inlineStr">
        <is>
          <t>Mandioca cozida</t>
        </is>
      </c>
      <c r="C20" s="2" t="inlineStr">
        <is>
          <t>90 g</t>
        </is>
      </c>
      <c r="D20" s="3" t="n">
        <v>90</v>
      </c>
      <c r="E20" s="4" t="n">
        <v>125</v>
      </c>
      <c r="F20" s="4" t="n">
        <v>0.6</v>
      </c>
      <c r="G20" s="4" t="n">
        <v>30.1</v>
      </c>
      <c r="H20" s="4" t="n">
        <v>0.3</v>
      </c>
      <c r="I20" s="5">
        <f>IF(D20="","",E20*D20/100)</f>
        <v/>
      </c>
      <c r="J20" s="5">
        <f>IF(D20="","",F20*D20/100)</f>
        <v/>
      </c>
      <c r="K20" s="5">
        <f>IF(D20="","",G20*D20/100)</f>
        <v/>
      </c>
      <c r="L20" s="5">
        <f>IF(D20="","",H20*D20/100)</f>
        <v/>
      </c>
      <c r="M20" s="2" t="inlineStr"/>
      <c r="N20" s="2" t="inlineStr">
        <is>
          <t>TBCA/TACO; USDA FoodData Central (complementar)</t>
        </is>
      </c>
    </row>
    <row r="21">
      <c r="A21" s="2" t="inlineStr">
        <is>
          <t>Carboidratos complexos</t>
        </is>
      </c>
      <c r="B21" s="2" t="inlineStr">
        <is>
          <t>Mandioquinha cozida</t>
        </is>
      </c>
      <c r="C21" s="2" t="inlineStr">
        <is>
          <t>100 g</t>
        </is>
      </c>
      <c r="D21" s="3" t="n">
        <v>100</v>
      </c>
      <c r="E21" s="4" t="n">
        <v>80</v>
      </c>
      <c r="F21" s="4" t="n">
        <v>0.9</v>
      </c>
      <c r="G21" s="4" t="n">
        <v>18.9</v>
      </c>
      <c r="H21" s="4" t="n">
        <v>0.2</v>
      </c>
      <c r="I21" s="5">
        <f>IF(D21="","",E21*D21/100)</f>
        <v/>
      </c>
      <c r="J21" s="5">
        <f>IF(D21="","",F21*D21/100)</f>
        <v/>
      </c>
      <c r="K21" s="5">
        <f>IF(D21="","",G21*D21/100)</f>
        <v/>
      </c>
      <c r="L21" s="5">
        <f>IF(D21="","",H21*D21/100)</f>
        <v/>
      </c>
      <c r="M21" s="2" t="inlineStr"/>
      <c r="N21" s="2" t="inlineStr">
        <is>
          <t>TBCA/TACO; USDA FoodData Central (complementar)</t>
        </is>
      </c>
    </row>
    <row r="22">
      <c r="A22" s="2" t="inlineStr">
        <is>
          <t>Carboidratos complexos</t>
        </is>
      </c>
      <c r="B22" s="2" t="inlineStr">
        <is>
          <t>Abóbora cabotiá cozida</t>
        </is>
      </c>
      <c r="C22" s="2" t="inlineStr">
        <is>
          <t>200 g</t>
        </is>
      </c>
      <c r="D22" s="3" t="n">
        <v>200</v>
      </c>
      <c r="E22" s="4" t="n">
        <v>48</v>
      </c>
      <c r="F22" s="4" t="n">
        <v>1.4</v>
      </c>
      <c r="G22" s="4" t="n">
        <v>10.8</v>
      </c>
      <c r="H22" s="4" t="n">
        <v>0.7</v>
      </c>
      <c r="I22" s="5">
        <f>IF(D22="","",E22*D22/100)</f>
        <v/>
      </c>
      <c r="J22" s="5">
        <f>IF(D22="","",F22*D22/100)</f>
        <v/>
      </c>
      <c r="K22" s="5">
        <f>IF(D22="","",G22*D22/100)</f>
        <v/>
      </c>
      <c r="L22" s="5">
        <f>IF(D22="","",H22*D22/100)</f>
        <v/>
      </c>
      <c r="M22" s="2" t="inlineStr"/>
      <c r="N22" s="2" t="inlineStr">
        <is>
          <t>TBCA/TACO; USDA FoodData Central (complementar)</t>
        </is>
      </c>
    </row>
    <row r="23">
      <c r="A23" s="2" t="inlineStr">
        <is>
          <t>Carboidratos complexos</t>
        </is>
      </c>
      <c r="B23" s="2" t="inlineStr">
        <is>
          <t>Quinoa cozida</t>
        </is>
      </c>
      <c r="C23" s="2" t="inlineStr">
        <is>
          <t>90 g</t>
        </is>
      </c>
      <c r="D23" s="3" t="n">
        <v>90</v>
      </c>
      <c r="E23" s="4" t="n">
        <v>120</v>
      </c>
      <c r="F23" s="4" t="n">
        <v>4.4</v>
      </c>
      <c r="G23" s="4" t="n">
        <v>21.3</v>
      </c>
      <c r="H23" s="4" t="n">
        <v>1.9</v>
      </c>
      <c r="I23" s="5">
        <f>IF(D23="","",E23*D23/100)</f>
        <v/>
      </c>
      <c r="J23" s="5">
        <f>IF(D23="","",F23*D23/100)</f>
        <v/>
      </c>
      <c r="K23" s="5">
        <f>IF(D23="","",G23*D23/100)</f>
        <v/>
      </c>
      <c r="L23" s="5">
        <f>IF(D23="","",H23*D23/100)</f>
        <v/>
      </c>
      <c r="M23" s="2" t="inlineStr"/>
      <c r="N23" s="2" t="inlineStr">
        <is>
          <t>TBCA/TACO; USDA FoodData Central (complementar)</t>
        </is>
      </c>
    </row>
    <row r="24">
      <c r="A24" s="2" t="inlineStr">
        <is>
          <t>Carboidratos complexos</t>
        </is>
      </c>
      <c r="B24" s="2" t="inlineStr">
        <is>
          <t>Aveia em flocos crua</t>
        </is>
      </c>
      <c r="C24" s="2" t="inlineStr">
        <is>
          <t>30 g</t>
        </is>
      </c>
      <c r="D24" s="3" t="n">
        <v>30</v>
      </c>
      <c r="E24" s="4" t="n">
        <v>389</v>
      </c>
      <c r="F24" s="4" t="n">
        <v>16.9</v>
      </c>
      <c r="G24" s="4" t="n">
        <v>66.3</v>
      </c>
      <c r="H24" s="4" t="n">
        <v>6.9</v>
      </c>
      <c r="I24" s="5">
        <f>IF(D24="","",E24*D24/100)</f>
        <v/>
      </c>
      <c r="J24" s="5">
        <f>IF(D24="","",F24*D24/100)</f>
        <v/>
      </c>
      <c r="K24" s="5">
        <f>IF(D24="","",G24*D24/100)</f>
        <v/>
      </c>
      <c r="L24" s="5">
        <f>IF(D24="","",H24*D24/100)</f>
        <v/>
      </c>
      <c r="M24" s="2" t="inlineStr"/>
      <c r="N24" s="2" t="inlineStr">
        <is>
          <t>TBCA/TACO; USDA FoodData Central (complementar)</t>
        </is>
      </c>
    </row>
    <row r="25">
      <c r="A25" s="2" t="inlineStr">
        <is>
          <t>Carboidratos complexos</t>
        </is>
      </c>
      <c r="B25" s="2" t="inlineStr">
        <is>
          <t>Macarrão integral cozido</t>
        </is>
      </c>
      <c r="C25" s="2" t="inlineStr">
        <is>
          <t>90 g</t>
        </is>
      </c>
      <c r="D25" s="3" t="n">
        <v>90</v>
      </c>
      <c r="E25" s="4" t="n">
        <v>149</v>
      </c>
      <c r="F25" s="4" t="n">
        <v>5.8</v>
      </c>
      <c r="G25" s="4" t="n">
        <v>30.1</v>
      </c>
      <c r="H25" s="4" t="n">
        <v>1.7</v>
      </c>
      <c r="I25" s="5">
        <f>IF(D25="","",E25*D25/100)</f>
        <v/>
      </c>
      <c r="J25" s="5">
        <f>IF(D25="","",F25*D25/100)</f>
        <v/>
      </c>
      <c r="K25" s="5">
        <f>IF(D25="","",G25*D25/100)</f>
        <v/>
      </c>
      <c r="L25" s="5">
        <f>IF(D25="","",H25*D25/100)</f>
        <v/>
      </c>
      <c r="M25" s="2" t="inlineStr"/>
      <c r="N25" s="2" t="inlineStr">
        <is>
          <t>TBCA/TACO; USDA FoodData Central (complementar)</t>
        </is>
      </c>
    </row>
    <row r="26">
      <c r="A26" s="2" t="inlineStr">
        <is>
          <t>Carboidratos complexos</t>
        </is>
      </c>
      <c r="B26" s="2" t="inlineStr">
        <is>
          <t>Cuscuz de milho cozido</t>
        </is>
      </c>
      <c r="C26" s="2" t="inlineStr">
        <is>
          <t>40 g</t>
        </is>
      </c>
      <c r="D26" s="3" t="n">
        <v>40</v>
      </c>
      <c r="E26" s="4" t="n">
        <v>112</v>
      </c>
      <c r="F26" s="4" t="n">
        <v>2.2</v>
      </c>
      <c r="G26" s="4" t="n">
        <v>23.2</v>
      </c>
      <c r="H26" s="4" t="n">
        <v>0.7</v>
      </c>
      <c r="I26" s="5">
        <f>IF(D26="","",E26*D26/100)</f>
        <v/>
      </c>
      <c r="J26" s="5">
        <f>IF(D26="","",F26*D26/100)</f>
        <v/>
      </c>
      <c r="K26" s="5">
        <f>IF(D26="","",G26*D26/100)</f>
        <v/>
      </c>
      <c r="L26" s="5">
        <f>IF(D26="","",H26*D26/100)</f>
        <v/>
      </c>
      <c r="M26" s="2" t="inlineStr">
        <is>
          <t>O PDF agrupa cuscuz/tapioca; aqui estão separados.</t>
        </is>
      </c>
      <c r="N26" s="2" t="inlineStr">
        <is>
          <t>TBCA/TACO; USDA FoodData Central (complementar)</t>
        </is>
      </c>
    </row>
    <row r="27">
      <c r="A27" s="2" t="inlineStr">
        <is>
          <t>Carboidratos complexos</t>
        </is>
      </c>
      <c r="B27" s="2" t="inlineStr">
        <is>
          <t>Tapioca preparada</t>
        </is>
      </c>
      <c r="C27" s="2" t="inlineStr">
        <is>
          <t>40 g</t>
        </is>
      </c>
      <c r="D27" s="3" t="n">
        <v>40</v>
      </c>
      <c r="E27" s="4" t="n">
        <v>230</v>
      </c>
      <c r="F27" s="4" t="n">
        <v>0.2</v>
      </c>
      <c r="G27" s="4" t="n">
        <v>56</v>
      </c>
      <c r="H27" s="4" t="n">
        <v>0.1</v>
      </c>
      <c r="I27" s="5">
        <f>IF(D27="","",E27*D27/100)</f>
        <v/>
      </c>
      <c r="J27" s="5">
        <f>IF(D27="","",F27*D27/100)</f>
        <v/>
      </c>
      <c r="K27" s="5">
        <f>IF(D27="","",G27*D27/100)</f>
        <v/>
      </c>
      <c r="L27" s="5">
        <f>IF(D27="","",H27*D27/100)</f>
        <v/>
      </c>
      <c r="M27" s="2" t="inlineStr">
        <is>
          <t>Pode variar bastante conforme hidratação e marca.</t>
        </is>
      </c>
      <c r="N27" s="2" t="inlineStr">
        <is>
          <t>TBCA/TACO; USDA FoodData Central (complementar)</t>
        </is>
      </c>
    </row>
    <row r="28">
      <c r="A28" s="2" t="inlineStr">
        <is>
          <t>Carboidratos complexos</t>
        </is>
      </c>
      <c r="B28" s="2" t="inlineStr">
        <is>
          <t>Feijão cozido</t>
        </is>
      </c>
      <c r="C28" s="2" t="inlineStr">
        <is>
          <t>100 g</t>
        </is>
      </c>
      <c r="D28" s="3" t="n">
        <v>100</v>
      </c>
      <c r="E28" s="4" t="n">
        <v>76</v>
      </c>
      <c r="F28" s="4" t="n">
        <v>4.8</v>
      </c>
      <c r="G28" s="4" t="n">
        <v>13.6</v>
      </c>
      <c r="H28" s="4" t="n">
        <v>0.5</v>
      </c>
      <c r="I28" s="5">
        <f>IF(D28="","",E28*D28/100)</f>
        <v/>
      </c>
      <c r="J28" s="5">
        <f>IF(D28="","",F28*D28/100)</f>
        <v/>
      </c>
      <c r="K28" s="5">
        <f>IF(D28="","",G28*D28/100)</f>
        <v/>
      </c>
      <c r="L28" s="5">
        <f>IF(D28="","",H28*D28/100)</f>
        <v/>
      </c>
      <c r="M28" s="2" t="inlineStr"/>
      <c r="N28" s="2" t="inlineStr">
        <is>
          <t>TBCA/TACO; USDA FoodData Central (complementar)</t>
        </is>
      </c>
    </row>
    <row r="29">
      <c r="A29" s="2" t="inlineStr">
        <is>
          <t>Carboidratos complexos</t>
        </is>
      </c>
      <c r="B29" s="2" t="inlineStr">
        <is>
          <t>Lentilha cozida</t>
        </is>
      </c>
      <c r="C29" s="2" t="inlineStr">
        <is>
          <t>100 g</t>
        </is>
      </c>
      <c r="D29" s="3" t="n">
        <v>100</v>
      </c>
      <c r="E29" s="4" t="n">
        <v>116</v>
      </c>
      <c r="F29" s="4" t="n">
        <v>9</v>
      </c>
      <c r="G29" s="4" t="n">
        <v>20.1</v>
      </c>
      <c r="H29" s="4" t="n">
        <v>0.4</v>
      </c>
      <c r="I29" s="5">
        <f>IF(D29="","",E29*D29/100)</f>
        <v/>
      </c>
      <c r="J29" s="5">
        <f>IF(D29="","",F29*D29/100)</f>
        <v/>
      </c>
      <c r="K29" s="5">
        <f>IF(D29="","",G29*D29/100)</f>
        <v/>
      </c>
      <c r="L29" s="5">
        <f>IF(D29="","",H29*D29/100)</f>
        <v/>
      </c>
      <c r="M29" s="2" t="inlineStr"/>
      <c r="N29" s="2" t="inlineStr">
        <is>
          <t>TBCA/TACO; USDA FoodData Central (complementar)</t>
        </is>
      </c>
    </row>
    <row r="30">
      <c r="A30" s="2" t="inlineStr">
        <is>
          <t>Carboidratos complexos</t>
        </is>
      </c>
      <c r="B30" s="2" t="inlineStr">
        <is>
          <t>Grão-de-bico cozido</t>
        </is>
      </c>
      <c r="C30" s="2" t="inlineStr">
        <is>
          <t>100 g</t>
        </is>
      </c>
      <c r="D30" s="3" t="n">
        <v>100</v>
      </c>
      <c r="E30" s="4" t="n">
        <v>164</v>
      </c>
      <c r="F30" s="4" t="n">
        <v>8.9</v>
      </c>
      <c r="G30" s="4" t="n">
        <v>27.4</v>
      </c>
      <c r="H30" s="4" t="n">
        <v>2.6</v>
      </c>
      <c r="I30" s="5">
        <f>IF(D30="","",E30*D30/100)</f>
        <v/>
      </c>
      <c r="J30" s="5">
        <f>IF(D30="","",F30*D30/100)</f>
        <v/>
      </c>
      <c r="K30" s="5">
        <f>IF(D30="","",G30*D30/100)</f>
        <v/>
      </c>
      <c r="L30" s="5">
        <f>IF(D30="","",H30*D30/100)</f>
        <v/>
      </c>
      <c r="M30" s="2" t="inlineStr"/>
      <c r="N30" s="2" t="inlineStr">
        <is>
          <t>TBCA/TACO; USDA FoodData Central (complementar)</t>
        </is>
      </c>
    </row>
    <row r="31">
      <c r="A31" s="2" t="inlineStr">
        <is>
          <t>Frutas</t>
        </is>
      </c>
      <c r="B31" s="2" t="inlineStr">
        <is>
          <t>Morango</t>
        </is>
      </c>
      <c r="C31" s="2" t="inlineStr">
        <is>
          <t>200 g</t>
        </is>
      </c>
      <c r="D31" s="3" t="n">
        <v>200</v>
      </c>
      <c r="E31" s="4" t="n">
        <v>32</v>
      </c>
      <c r="F31" s="4" t="n">
        <v>0.7</v>
      </c>
      <c r="G31" s="4" t="n">
        <v>7.7</v>
      </c>
      <c r="H31" s="4" t="n">
        <v>0.3</v>
      </c>
      <c r="I31" s="5">
        <f>IF(D31="","",E31*D31/100)</f>
        <v/>
      </c>
      <c r="J31" s="5">
        <f>IF(D31="","",F31*D31/100)</f>
        <v/>
      </c>
      <c r="K31" s="5">
        <f>IF(D31="","",G31*D31/100)</f>
        <v/>
      </c>
      <c r="L31" s="5">
        <f>IF(D31="","",H31*D31/100)</f>
        <v/>
      </c>
      <c r="M31" s="2" t="inlineStr"/>
      <c r="N31" s="2" t="inlineStr">
        <is>
          <t>TBCA/TACO; USDA FoodData Central (complementar)</t>
        </is>
      </c>
    </row>
    <row r="32">
      <c r="A32" s="2" t="inlineStr">
        <is>
          <t>Frutas</t>
        </is>
      </c>
      <c r="B32" s="2" t="inlineStr">
        <is>
          <t>Melancia</t>
        </is>
      </c>
      <c r="C32" s="2" t="inlineStr">
        <is>
          <t>200 g</t>
        </is>
      </c>
      <c r="D32" s="3" t="n">
        <v>200</v>
      </c>
      <c r="E32" s="4" t="n">
        <v>30</v>
      </c>
      <c r="F32" s="4" t="n">
        <v>0.6</v>
      </c>
      <c r="G32" s="4" t="n">
        <v>7.6</v>
      </c>
      <c r="H32" s="4" t="n">
        <v>0.2</v>
      </c>
      <c r="I32" s="5">
        <f>IF(D32="","",E32*D32/100)</f>
        <v/>
      </c>
      <c r="J32" s="5">
        <f>IF(D32="","",F32*D32/100)</f>
        <v/>
      </c>
      <c r="K32" s="5">
        <f>IF(D32="","",G32*D32/100)</f>
        <v/>
      </c>
      <c r="L32" s="5">
        <f>IF(D32="","",H32*D32/100)</f>
        <v/>
      </c>
      <c r="M32" s="2" t="inlineStr"/>
      <c r="N32" s="2" t="inlineStr">
        <is>
          <t>TBCA/TACO; USDA FoodData Central (complementar)</t>
        </is>
      </c>
    </row>
    <row r="33">
      <c r="A33" s="2" t="inlineStr">
        <is>
          <t>Frutas</t>
        </is>
      </c>
      <c r="B33" s="2" t="inlineStr">
        <is>
          <t>Melão</t>
        </is>
      </c>
      <c r="C33" s="2" t="inlineStr">
        <is>
          <t>200 g</t>
        </is>
      </c>
      <c r="D33" s="3" t="n">
        <v>200</v>
      </c>
      <c r="E33" s="4" t="n">
        <v>34</v>
      </c>
      <c r="F33" s="4" t="n">
        <v>0.8</v>
      </c>
      <c r="G33" s="4" t="n">
        <v>8.199999999999999</v>
      </c>
      <c r="H33" s="4" t="n">
        <v>0.2</v>
      </c>
      <c r="I33" s="5">
        <f>IF(D33="","",E33*D33/100)</f>
        <v/>
      </c>
      <c r="J33" s="5">
        <f>IF(D33="","",F33*D33/100)</f>
        <v/>
      </c>
      <c r="K33" s="5">
        <f>IF(D33="","",G33*D33/100)</f>
        <v/>
      </c>
      <c r="L33" s="5">
        <f>IF(D33="","",H33*D33/100)</f>
        <v/>
      </c>
      <c r="M33" s="2" t="inlineStr"/>
      <c r="N33" s="2" t="inlineStr">
        <is>
          <t>TBCA/TACO; USDA FoodData Central (complementar)</t>
        </is>
      </c>
    </row>
    <row r="34">
      <c r="A34" s="2" t="inlineStr">
        <is>
          <t>Frutas</t>
        </is>
      </c>
      <c r="B34" s="2" t="inlineStr">
        <is>
          <t>Abacaxi</t>
        </is>
      </c>
      <c r="C34" s="2" t="inlineStr">
        <is>
          <t>140 g</t>
        </is>
      </c>
      <c r="D34" s="3" t="n">
        <v>140</v>
      </c>
      <c r="E34" s="4" t="n">
        <v>50</v>
      </c>
      <c r="F34" s="4" t="n">
        <v>0.5</v>
      </c>
      <c r="G34" s="4" t="n">
        <v>13.1</v>
      </c>
      <c r="H34" s="4" t="n">
        <v>0.1</v>
      </c>
      <c r="I34" s="5">
        <f>IF(D34="","",E34*D34/100)</f>
        <v/>
      </c>
      <c r="J34" s="5">
        <f>IF(D34="","",F34*D34/100)</f>
        <v/>
      </c>
      <c r="K34" s="5">
        <f>IF(D34="","",G34*D34/100)</f>
        <v/>
      </c>
      <c r="L34" s="5">
        <f>IF(D34="","",H34*D34/100)</f>
        <v/>
      </c>
      <c r="M34" s="2" t="inlineStr"/>
      <c r="N34" s="2" t="inlineStr">
        <is>
          <t>TBCA/TACO; USDA FoodData Central (complementar)</t>
        </is>
      </c>
    </row>
    <row r="35">
      <c r="A35" s="2" t="inlineStr">
        <is>
          <t>Frutas</t>
        </is>
      </c>
      <c r="B35" s="2" t="inlineStr">
        <is>
          <t>Maçã com casca</t>
        </is>
      </c>
      <c r="C35" s="2" t="inlineStr">
        <is>
          <t>130 g</t>
        </is>
      </c>
      <c r="D35" s="3" t="n">
        <v>130</v>
      </c>
      <c r="E35" s="4" t="n">
        <v>52</v>
      </c>
      <c r="F35" s="4" t="n">
        <v>0.3</v>
      </c>
      <c r="G35" s="4" t="n">
        <v>13.8</v>
      </c>
      <c r="H35" s="4" t="n">
        <v>0.2</v>
      </c>
      <c r="I35" s="5">
        <f>IF(D35="","",E35*D35/100)</f>
        <v/>
      </c>
      <c r="J35" s="5">
        <f>IF(D35="","",F35*D35/100)</f>
        <v/>
      </c>
      <c r="K35" s="5">
        <f>IF(D35="","",G35*D35/100)</f>
        <v/>
      </c>
      <c r="L35" s="5">
        <f>IF(D35="","",H35*D35/100)</f>
        <v/>
      </c>
      <c r="M35" s="2" t="inlineStr"/>
      <c r="N35" s="2" t="inlineStr">
        <is>
          <t>TBCA/TACO; USDA FoodData Central (complementar)</t>
        </is>
      </c>
    </row>
    <row r="36">
      <c r="A36" s="2" t="inlineStr">
        <is>
          <t>Frutas</t>
        </is>
      </c>
      <c r="B36" s="2" t="inlineStr">
        <is>
          <t>Pera</t>
        </is>
      </c>
      <c r="C36" s="2" t="inlineStr">
        <is>
          <t>120 g</t>
        </is>
      </c>
      <c r="D36" s="3" t="n">
        <v>120</v>
      </c>
      <c r="E36" s="4" t="n">
        <v>57</v>
      </c>
      <c r="F36" s="4" t="n">
        <v>0.4</v>
      </c>
      <c r="G36" s="4" t="n">
        <v>15.2</v>
      </c>
      <c r="H36" s="4" t="n">
        <v>0.1</v>
      </c>
      <c r="I36" s="5">
        <f>IF(D36="","",E36*D36/100)</f>
        <v/>
      </c>
      <c r="J36" s="5">
        <f>IF(D36="","",F36*D36/100)</f>
        <v/>
      </c>
      <c r="K36" s="5">
        <f>IF(D36="","",G36*D36/100)</f>
        <v/>
      </c>
      <c r="L36" s="5">
        <f>IF(D36="","",H36*D36/100)</f>
        <v/>
      </c>
      <c r="M36" s="2" t="inlineStr"/>
      <c r="N36" s="2" t="inlineStr">
        <is>
          <t>TBCA/TACO; USDA FoodData Central (complementar)</t>
        </is>
      </c>
    </row>
    <row r="37">
      <c r="A37" s="2" t="inlineStr">
        <is>
          <t>Frutas</t>
        </is>
      </c>
      <c r="B37" s="2" t="inlineStr">
        <is>
          <t>Mamão papaia</t>
        </is>
      </c>
      <c r="C37" s="2" t="inlineStr">
        <is>
          <t>160 g</t>
        </is>
      </c>
      <c r="D37" s="3" t="n">
        <v>160</v>
      </c>
      <c r="E37" s="4" t="n">
        <v>43</v>
      </c>
      <c r="F37" s="4" t="n">
        <v>0.5</v>
      </c>
      <c r="G37" s="4" t="n">
        <v>10.8</v>
      </c>
      <c r="H37" s="4" t="n">
        <v>0.3</v>
      </c>
      <c r="I37" s="5">
        <f>IF(D37="","",E37*D37/100)</f>
        <v/>
      </c>
      <c r="J37" s="5">
        <f>IF(D37="","",F37*D37/100)</f>
        <v/>
      </c>
      <c r="K37" s="5">
        <f>IF(D37="","",G37*D37/100)</f>
        <v/>
      </c>
      <c r="L37" s="5">
        <f>IF(D37="","",H37*D37/100)</f>
        <v/>
      </c>
      <c r="M37" s="2" t="inlineStr"/>
      <c r="N37" s="2" t="inlineStr">
        <is>
          <t>TBCA/TACO; USDA FoodData Central (complementar)</t>
        </is>
      </c>
    </row>
    <row r="38">
      <c r="A38" s="2" t="inlineStr">
        <is>
          <t>Frutas</t>
        </is>
      </c>
      <c r="B38" s="2" t="inlineStr">
        <is>
          <t>Banana</t>
        </is>
      </c>
      <c r="C38" s="2" t="inlineStr">
        <is>
          <t>80 g</t>
        </is>
      </c>
      <c r="D38" s="3" t="n">
        <v>80</v>
      </c>
      <c r="E38" s="4" t="n">
        <v>89</v>
      </c>
      <c r="F38" s="4" t="n">
        <v>1.1</v>
      </c>
      <c r="G38" s="4" t="n">
        <v>22.8</v>
      </c>
      <c r="H38" s="4" t="n">
        <v>0.3</v>
      </c>
      <c r="I38" s="5">
        <f>IF(D38="","",E38*D38/100)</f>
        <v/>
      </c>
      <c r="J38" s="5">
        <f>IF(D38="","",F38*D38/100)</f>
        <v/>
      </c>
      <c r="K38" s="5">
        <f>IF(D38="","",G38*D38/100)</f>
        <v/>
      </c>
      <c r="L38" s="5">
        <f>IF(D38="","",H38*D38/100)</f>
        <v/>
      </c>
      <c r="M38" s="2" t="inlineStr"/>
      <c r="N38" s="2" t="inlineStr">
        <is>
          <t>TBCA/TACO; USDA FoodData Central (complementar)</t>
        </is>
      </c>
    </row>
    <row r="39">
      <c r="A39" s="2" t="inlineStr">
        <is>
          <t>Frutas</t>
        </is>
      </c>
      <c r="B39" s="2" t="inlineStr">
        <is>
          <t>Laranja</t>
        </is>
      </c>
      <c r="C39" s="2" t="inlineStr">
        <is>
          <t>120 g</t>
        </is>
      </c>
      <c r="D39" s="3" t="n">
        <v>120</v>
      </c>
      <c r="E39" s="4" t="n">
        <v>47</v>
      </c>
      <c r="F39" s="4" t="n">
        <v>0.9</v>
      </c>
      <c r="G39" s="4" t="n">
        <v>11.8</v>
      </c>
      <c r="H39" s="4" t="n">
        <v>0.1</v>
      </c>
      <c r="I39" s="5">
        <f>IF(D39="","",E39*D39/100)</f>
        <v/>
      </c>
      <c r="J39" s="5">
        <f>IF(D39="","",F39*D39/100)</f>
        <v/>
      </c>
      <c r="K39" s="5">
        <f>IF(D39="","",G39*D39/100)</f>
        <v/>
      </c>
      <c r="L39" s="5">
        <f>IF(D39="","",H39*D39/100)</f>
        <v/>
      </c>
      <c r="M39" s="2" t="inlineStr"/>
      <c r="N39" s="2" t="inlineStr">
        <is>
          <t>TBCA/TACO; USDA FoodData Central (complementar)</t>
        </is>
      </c>
    </row>
    <row r="40">
      <c r="A40" s="2" t="inlineStr">
        <is>
          <t>Frutas</t>
        </is>
      </c>
      <c r="B40" s="2" t="inlineStr">
        <is>
          <t>Tangerina</t>
        </is>
      </c>
      <c r="C40" s="2" t="inlineStr">
        <is>
          <t>130 g</t>
        </is>
      </c>
      <c r="D40" s="3" t="n">
        <v>130</v>
      </c>
      <c r="E40" s="4" t="n">
        <v>53</v>
      </c>
      <c r="F40" s="4" t="n">
        <v>0.8</v>
      </c>
      <c r="G40" s="4" t="n">
        <v>13.3</v>
      </c>
      <c r="H40" s="4" t="n">
        <v>0.3</v>
      </c>
      <c r="I40" s="5">
        <f>IF(D40="","",E40*D40/100)</f>
        <v/>
      </c>
      <c r="J40" s="5">
        <f>IF(D40="","",F40*D40/100)</f>
        <v/>
      </c>
      <c r="K40" s="5">
        <f>IF(D40="","",G40*D40/100)</f>
        <v/>
      </c>
      <c r="L40" s="5">
        <f>IF(D40="","",H40*D40/100)</f>
        <v/>
      </c>
      <c r="M40" s="2" t="inlineStr"/>
      <c r="N40" s="2" t="inlineStr">
        <is>
          <t>TBCA/TACO; USDA FoodData Central (complementar)</t>
        </is>
      </c>
    </row>
    <row r="41">
      <c r="A41" s="2" t="inlineStr">
        <is>
          <t>Frutas</t>
        </is>
      </c>
      <c r="B41" s="2" t="inlineStr">
        <is>
          <t>Kiwi</t>
        </is>
      </c>
      <c r="C41" s="2" t="inlineStr">
        <is>
          <t>110 g</t>
        </is>
      </c>
      <c r="D41" s="3" t="n">
        <v>110</v>
      </c>
      <c r="E41" s="4" t="n">
        <v>61</v>
      </c>
      <c r="F41" s="4" t="n">
        <v>1.1</v>
      </c>
      <c r="G41" s="4" t="n">
        <v>14.7</v>
      </c>
      <c r="H41" s="4" t="n">
        <v>0.5</v>
      </c>
      <c r="I41" s="5">
        <f>IF(D41="","",E41*D41/100)</f>
        <v/>
      </c>
      <c r="J41" s="5">
        <f>IF(D41="","",F41*D41/100)</f>
        <v/>
      </c>
      <c r="K41" s="5">
        <f>IF(D41="","",G41*D41/100)</f>
        <v/>
      </c>
      <c r="L41" s="5">
        <f>IF(D41="","",H41*D41/100)</f>
        <v/>
      </c>
      <c r="M41" s="2" t="inlineStr"/>
      <c r="N41" s="2" t="inlineStr">
        <is>
          <t>TBCA/TACO; USDA FoodData Central (complementar)</t>
        </is>
      </c>
    </row>
    <row r="42">
      <c r="A42" s="2" t="inlineStr">
        <is>
          <t>Frutas</t>
        </is>
      </c>
      <c r="B42" s="2" t="inlineStr">
        <is>
          <t>Manga</t>
        </is>
      </c>
      <c r="C42" s="2" t="inlineStr">
        <is>
          <t>120 g</t>
        </is>
      </c>
      <c r="D42" s="3" t="n">
        <v>120</v>
      </c>
      <c r="E42" s="4" t="n">
        <v>60</v>
      </c>
      <c r="F42" s="4" t="n">
        <v>0.8</v>
      </c>
      <c r="G42" s="4" t="n">
        <v>15</v>
      </c>
      <c r="H42" s="4" t="n">
        <v>0.4</v>
      </c>
      <c r="I42" s="5">
        <f>IF(D42="","",E42*D42/100)</f>
        <v/>
      </c>
      <c r="J42" s="5">
        <f>IF(D42="","",F42*D42/100)</f>
        <v/>
      </c>
      <c r="K42" s="5">
        <f>IF(D42="","",G42*D42/100)</f>
        <v/>
      </c>
      <c r="L42" s="5">
        <f>IF(D42="","",H42*D42/100)</f>
        <v/>
      </c>
      <c r="M42" s="2" t="inlineStr"/>
      <c r="N42" s="2" t="inlineStr">
        <is>
          <t>TBCA/TACO; USDA FoodData Central (complementar)</t>
        </is>
      </c>
    </row>
    <row r="43">
      <c r="A43" s="2" t="inlineStr">
        <is>
          <t>Frutas</t>
        </is>
      </c>
      <c r="B43" s="2" t="inlineStr">
        <is>
          <t>Pêssego</t>
        </is>
      </c>
      <c r="C43" s="2" t="inlineStr">
        <is>
          <t>130 g</t>
        </is>
      </c>
      <c r="D43" s="3" t="n">
        <v>130</v>
      </c>
      <c r="E43" s="4" t="n">
        <v>39</v>
      </c>
      <c r="F43" s="4" t="n">
        <v>0.9</v>
      </c>
      <c r="G43" s="4" t="n">
        <v>9.5</v>
      </c>
      <c r="H43" s="4" t="n">
        <v>0.3</v>
      </c>
      <c r="I43" s="5">
        <f>IF(D43="","",E43*D43/100)</f>
        <v/>
      </c>
      <c r="J43" s="5">
        <f>IF(D43="","",F43*D43/100)</f>
        <v/>
      </c>
      <c r="K43" s="5">
        <f>IF(D43="","",G43*D43/100)</f>
        <v/>
      </c>
      <c r="L43" s="5">
        <f>IF(D43="","",H43*D43/100)</f>
        <v/>
      </c>
      <c r="M43" s="2" t="inlineStr"/>
      <c r="N43" s="2" t="inlineStr">
        <is>
          <t>TBCA/TACO; USDA FoodData Central (complementar)</t>
        </is>
      </c>
    </row>
    <row r="44">
      <c r="A44" s="2" t="inlineStr">
        <is>
          <t>Frutas</t>
        </is>
      </c>
      <c r="B44" s="2" t="inlineStr">
        <is>
          <t>Ameixa fresca</t>
        </is>
      </c>
      <c r="C44" s="2" t="inlineStr">
        <is>
          <t>120 g</t>
        </is>
      </c>
      <c r="D44" s="3" t="n">
        <v>120</v>
      </c>
      <c r="E44" s="4" t="n">
        <v>46</v>
      </c>
      <c r="F44" s="4" t="n">
        <v>0.7</v>
      </c>
      <c r="G44" s="4" t="n">
        <v>11.4</v>
      </c>
      <c r="H44" s="4" t="n">
        <v>0.3</v>
      </c>
      <c r="I44" s="5">
        <f>IF(D44="","",E44*D44/100)</f>
        <v/>
      </c>
      <c r="J44" s="5">
        <f>IF(D44="","",F44*D44/100)</f>
        <v/>
      </c>
      <c r="K44" s="5">
        <f>IF(D44="","",G44*D44/100)</f>
        <v/>
      </c>
      <c r="L44" s="5">
        <f>IF(D44="","",H44*D44/100)</f>
        <v/>
      </c>
      <c r="M44" s="2" t="inlineStr"/>
      <c r="N44" s="2" t="inlineStr">
        <is>
          <t>TBCA/TACO; USDA FoodData Central (complementar)</t>
        </is>
      </c>
    </row>
    <row r="45">
      <c r="A45" s="2" t="inlineStr">
        <is>
          <t>Frutas</t>
        </is>
      </c>
      <c r="B45" s="2" t="inlineStr">
        <is>
          <t>Uva</t>
        </is>
      </c>
      <c r="C45" s="2" t="inlineStr">
        <is>
          <t>100 g</t>
        </is>
      </c>
      <c r="D45" s="3" t="n">
        <v>100</v>
      </c>
      <c r="E45" s="4" t="n">
        <v>69</v>
      </c>
      <c r="F45" s="4" t="n">
        <v>0.7</v>
      </c>
      <c r="G45" s="4" t="n">
        <v>18.1</v>
      </c>
      <c r="H45" s="4" t="n">
        <v>0.2</v>
      </c>
      <c r="I45" s="5">
        <f>IF(D45="","",E45*D45/100)</f>
        <v/>
      </c>
      <c r="J45" s="5">
        <f>IF(D45="","",F45*D45/100)</f>
        <v/>
      </c>
      <c r="K45" s="5">
        <f>IF(D45="","",G45*D45/100)</f>
        <v/>
      </c>
      <c r="L45" s="5">
        <f>IF(D45="","",H45*D45/100)</f>
        <v/>
      </c>
      <c r="M45" s="2" t="inlineStr"/>
      <c r="N45" s="2" t="inlineStr">
        <is>
          <t>TBCA/TACO; USDA FoodData Central (complementar)</t>
        </is>
      </c>
    </row>
    <row r="46">
      <c r="A46" s="2" t="inlineStr">
        <is>
          <t>Frutas</t>
        </is>
      </c>
      <c r="B46" s="2" t="inlineStr">
        <is>
          <t>Frutas vermelhas (mix)</t>
        </is>
      </c>
      <c r="C46" s="2" t="inlineStr">
        <is>
          <t>150 g</t>
        </is>
      </c>
      <c r="D46" s="3" t="n">
        <v>150</v>
      </c>
      <c r="E46" s="4" t="n">
        <v>43</v>
      </c>
      <c r="F46" s="4" t="n">
        <v>0.8</v>
      </c>
      <c r="G46" s="4" t="n">
        <v>10</v>
      </c>
      <c r="H46" s="4" t="n">
        <v>0.4</v>
      </c>
      <c r="I46" s="5">
        <f>IF(D46="","",E46*D46/100)</f>
        <v/>
      </c>
      <c r="J46" s="5">
        <f>IF(D46="","",F46*D46/100)</f>
        <v/>
      </c>
      <c r="K46" s="5">
        <f>IF(D46="","",G46*D46/100)</f>
        <v/>
      </c>
      <c r="L46" s="5">
        <f>IF(D46="","",H46*D46/100)</f>
        <v/>
      </c>
      <c r="M46" s="2" t="inlineStr">
        <is>
          <t>Mix genérico; composição muda conforme as frutas.</t>
        </is>
      </c>
      <c r="N46" s="2" t="inlineStr">
        <is>
          <t>TBCA/TACO; USDA FoodData Central (complementar)</t>
        </is>
      </c>
    </row>
    <row r="47">
      <c r="A47" s="2" t="inlineStr">
        <is>
          <t>Frutas</t>
        </is>
      </c>
      <c r="B47" s="2" t="inlineStr">
        <is>
          <t>Amora</t>
        </is>
      </c>
      <c r="C47" s="2" t="inlineStr">
        <is>
          <t>100 g (referência)</t>
        </is>
      </c>
      <c r="D47" s="3" t="n">
        <v>100</v>
      </c>
      <c r="E47" s="4" t="n">
        <v>43</v>
      </c>
      <c r="F47" s="4" t="n">
        <v>1.4</v>
      </c>
      <c r="G47" s="4" t="n">
        <v>9.6</v>
      </c>
      <c r="H47" s="4" t="n">
        <v>0.5</v>
      </c>
      <c r="I47" s="5">
        <f>IF(D47="","",E47*D47/100)</f>
        <v/>
      </c>
      <c r="J47" s="5">
        <f>IF(D47="","",F47*D47/100)</f>
        <v/>
      </c>
      <c r="K47" s="5">
        <f>IF(D47="","",G47*D47/100)</f>
        <v/>
      </c>
      <c r="L47" s="5">
        <f>IF(D47="","",H47*D47/100)</f>
        <v/>
      </c>
      <c r="M47" s="2" t="inlineStr">
        <is>
          <t>Citada como exemplo de fruta vermelha.</t>
        </is>
      </c>
      <c r="N47" s="2" t="inlineStr">
        <is>
          <t>TBCA/TACO; USDA FoodData Central (complementar)</t>
        </is>
      </c>
    </row>
    <row r="48">
      <c r="A48" s="2" t="inlineStr">
        <is>
          <t>Frutas</t>
        </is>
      </c>
      <c r="B48" s="2" t="inlineStr">
        <is>
          <t>Maracujá</t>
        </is>
      </c>
      <c r="C48" s="2" t="inlineStr">
        <is>
          <t>1 un (~50 g polpa)</t>
        </is>
      </c>
      <c r="D48" s="3" t="n">
        <v>50</v>
      </c>
      <c r="E48" s="4" t="n">
        <v>97</v>
      </c>
      <c r="F48" s="4" t="n">
        <v>2.2</v>
      </c>
      <c r="G48" s="4" t="n">
        <v>23.4</v>
      </c>
      <c r="H48" s="4" t="n">
        <v>0.7</v>
      </c>
      <c r="I48" s="5">
        <f>IF(D48="","",E48*D48/100)</f>
        <v/>
      </c>
      <c r="J48" s="5">
        <f>IF(D48="","",F48*D48/100)</f>
        <v/>
      </c>
      <c r="K48" s="5">
        <f>IF(D48="","",G48*D48/100)</f>
        <v/>
      </c>
      <c r="L48" s="5">
        <f>IF(D48="","",H48*D48/100)</f>
        <v/>
      </c>
      <c r="M48" s="2" t="inlineStr">
        <is>
          <t>Porção aproximada de polpa.</t>
        </is>
      </c>
      <c r="N48" s="2" t="inlineStr">
        <is>
          <t>TBCA/TACO; USDA FoodData Central (complementar)</t>
        </is>
      </c>
    </row>
    <row r="49">
      <c r="A49" s="2" t="inlineStr">
        <is>
          <t>Frutas</t>
        </is>
      </c>
      <c r="B49" s="2" t="inlineStr">
        <is>
          <t>Limão</t>
        </is>
      </c>
      <c r="C49" s="2" t="inlineStr">
        <is>
          <t>1 un (~58 g)</t>
        </is>
      </c>
      <c r="D49" s="3" t="n">
        <v>58</v>
      </c>
      <c r="E49" s="4" t="n">
        <v>29</v>
      </c>
      <c r="F49" s="4" t="n">
        <v>1.1</v>
      </c>
      <c r="G49" s="4" t="n">
        <v>9.300000000000001</v>
      </c>
      <c r="H49" s="4" t="n">
        <v>0.3</v>
      </c>
      <c r="I49" s="5">
        <f>IF(D49="","",E49*D49/100)</f>
        <v/>
      </c>
      <c r="J49" s="5">
        <f>IF(D49="","",F49*D49/100)</f>
        <v/>
      </c>
      <c r="K49" s="5">
        <f>IF(D49="","",G49*D49/100)</f>
        <v/>
      </c>
      <c r="L49" s="5">
        <f>IF(D49="","",H49*D49/100)</f>
        <v/>
      </c>
      <c r="M49" s="2" t="inlineStr"/>
      <c r="N49" s="2" t="inlineStr">
        <is>
          <t>TBCA/TACO; USDA FoodData Central (complementar)</t>
        </is>
      </c>
    </row>
    <row r="50">
      <c r="A50" s="2" t="inlineStr">
        <is>
          <t>Gorduras boas</t>
        </is>
      </c>
      <c r="B50" s="2" t="inlineStr">
        <is>
          <t>Azeite extravirgem</t>
        </is>
      </c>
      <c r="C50" s="2" t="inlineStr">
        <is>
          <t>5 g (1 c. chá)</t>
        </is>
      </c>
      <c r="D50" s="3" t="n">
        <v>5</v>
      </c>
      <c r="E50" s="4" t="n">
        <v>884</v>
      </c>
      <c r="F50" s="4" t="n">
        <v>0</v>
      </c>
      <c r="G50" s="4" t="n">
        <v>0</v>
      </c>
      <c r="H50" s="4" t="n">
        <v>100</v>
      </c>
      <c r="I50" s="5">
        <f>IF(D50="","",E50*D50/100)</f>
        <v/>
      </c>
      <c r="J50" s="5">
        <f>IF(D50="","",F50*D50/100)</f>
        <v/>
      </c>
      <c r="K50" s="5">
        <f>IF(D50="","",G50*D50/100)</f>
        <v/>
      </c>
      <c r="L50" s="5">
        <f>IF(D50="","",H50*D50/100)</f>
        <v/>
      </c>
      <c r="M50" s="2" t="inlineStr"/>
      <c r="N50" s="2" t="inlineStr">
        <is>
          <t>TBCA/TACO; USDA FoodData Central (complementar)</t>
        </is>
      </c>
    </row>
    <row r="51">
      <c r="A51" s="2" t="inlineStr">
        <is>
          <t>Gorduras boas</t>
        </is>
      </c>
      <c r="B51" s="2" t="inlineStr">
        <is>
          <t>Óleo de coco</t>
        </is>
      </c>
      <c r="C51" s="2" t="inlineStr">
        <is>
          <t>5 g</t>
        </is>
      </c>
      <c r="D51" s="3" t="n">
        <v>5</v>
      </c>
      <c r="E51" s="4" t="n">
        <v>892</v>
      </c>
      <c r="F51" s="4" t="n">
        <v>0</v>
      </c>
      <c r="G51" s="4" t="n">
        <v>0</v>
      </c>
      <c r="H51" s="4" t="n">
        <v>100</v>
      </c>
      <c r="I51" s="5">
        <f>IF(D51="","",E51*D51/100)</f>
        <v/>
      </c>
      <c r="J51" s="5">
        <f>IF(D51="","",F51*D51/100)</f>
        <v/>
      </c>
      <c r="K51" s="5">
        <f>IF(D51="","",G51*D51/100)</f>
        <v/>
      </c>
      <c r="L51" s="5">
        <f>IF(D51="","",H51*D51/100)</f>
        <v/>
      </c>
      <c r="M51" s="2" t="inlineStr"/>
      <c r="N51" s="2" t="inlineStr">
        <is>
          <t>TBCA/TACO; USDA FoodData Central (complementar)</t>
        </is>
      </c>
    </row>
    <row r="52">
      <c r="A52" s="2" t="inlineStr">
        <is>
          <t>Gorduras boas</t>
        </is>
      </c>
      <c r="B52" s="2" t="inlineStr">
        <is>
          <t>Abacate</t>
        </is>
      </c>
      <c r="C52" s="2" t="inlineStr">
        <is>
          <t>30 g</t>
        </is>
      </c>
      <c r="D52" s="3" t="n">
        <v>30</v>
      </c>
      <c r="E52" s="4" t="n">
        <v>160</v>
      </c>
      <c r="F52" s="4" t="n">
        <v>2</v>
      </c>
      <c r="G52" s="4" t="n">
        <v>8.5</v>
      </c>
      <c r="H52" s="4" t="n">
        <v>14.7</v>
      </c>
      <c r="I52" s="5">
        <f>IF(D52="","",E52*D52/100)</f>
        <v/>
      </c>
      <c r="J52" s="5">
        <f>IF(D52="","",F52*D52/100)</f>
        <v/>
      </c>
      <c r="K52" s="5">
        <f>IF(D52="","",G52*D52/100)</f>
        <v/>
      </c>
      <c r="L52" s="5">
        <f>IF(D52="","",H52*D52/100)</f>
        <v/>
      </c>
      <c r="M52" s="2" t="inlineStr"/>
      <c r="N52" s="2" t="inlineStr">
        <is>
          <t>TBCA/TACO; USDA FoodData Central (complementar)</t>
        </is>
      </c>
    </row>
    <row r="53">
      <c r="A53" s="2" t="inlineStr">
        <is>
          <t>Gorduras boas</t>
        </is>
      </c>
      <c r="B53" s="2" t="inlineStr">
        <is>
          <t>Castanha-do-Pará</t>
        </is>
      </c>
      <c r="C53" s="2" t="inlineStr">
        <is>
          <t>10 g (2 un)</t>
        </is>
      </c>
      <c r="D53" s="3" t="n">
        <v>10</v>
      </c>
      <c r="E53" s="4" t="n">
        <v>659</v>
      </c>
      <c r="F53" s="4" t="n">
        <v>14.3</v>
      </c>
      <c r="G53" s="4" t="n">
        <v>11.7</v>
      </c>
      <c r="H53" s="4" t="n">
        <v>67.09999999999999</v>
      </c>
      <c r="I53" s="5">
        <f>IF(D53="","",E53*D53/100)</f>
        <v/>
      </c>
      <c r="J53" s="5">
        <f>IF(D53="","",F53*D53/100)</f>
        <v/>
      </c>
      <c r="K53" s="5">
        <f>IF(D53="","",G53*D53/100)</f>
        <v/>
      </c>
      <c r="L53" s="5">
        <f>IF(D53="","",H53*D53/100)</f>
        <v/>
      </c>
      <c r="M53" s="2" t="inlineStr"/>
      <c r="N53" s="2" t="inlineStr">
        <is>
          <t>TBCA/TACO; USDA FoodData Central (complementar)</t>
        </is>
      </c>
    </row>
    <row r="54">
      <c r="A54" s="2" t="inlineStr">
        <is>
          <t>Gorduras boas</t>
        </is>
      </c>
      <c r="B54" s="2" t="inlineStr">
        <is>
          <t>Castanha de caju</t>
        </is>
      </c>
      <c r="C54" s="2" t="inlineStr">
        <is>
          <t>12 g</t>
        </is>
      </c>
      <c r="D54" s="3" t="n">
        <v>12</v>
      </c>
      <c r="E54" s="4" t="n">
        <v>553</v>
      </c>
      <c r="F54" s="4" t="n">
        <v>18.2</v>
      </c>
      <c r="G54" s="4" t="n">
        <v>30.2</v>
      </c>
      <c r="H54" s="4" t="n">
        <v>43.9</v>
      </c>
      <c r="I54" s="5">
        <f>IF(D54="","",E54*D54/100)</f>
        <v/>
      </c>
      <c r="J54" s="5">
        <f>IF(D54="","",F54*D54/100)</f>
        <v/>
      </c>
      <c r="K54" s="5">
        <f>IF(D54="","",G54*D54/100)</f>
        <v/>
      </c>
      <c r="L54" s="5">
        <f>IF(D54="","",H54*D54/100)</f>
        <v/>
      </c>
      <c r="M54" s="2" t="inlineStr"/>
      <c r="N54" s="2" t="inlineStr">
        <is>
          <t>TBCA/TACO; USDA FoodData Central (complementar)</t>
        </is>
      </c>
    </row>
    <row r="55">
      <c r="A55" s="2" t="inlineStr">
        <is>
          <t>Gorduras boas</t>
        </is>
      </c>
      <c r="B55" s="2" t="inlineStr">
        <is>
          <t>Amêndoas</t>
        </is>
      </c>
      <c r="C55" s="2" t="inlineStr">
        <is>
          <t>12 g</t>
        </is>
      </c>
      <c r="D55" s="3" t="n">
        <v>12</v>
      </c>
      <c r="E55" s="4" t="n">
        <v>579</v>
      </c>
      <c r="F55" s="4" t="n">
        <v>21.2</v>
      </c>
      <c r="G55" s="4" t="n">
        <v>21.6</v>
      </c>
      <c r="H55" s="4" t="n">
        <v>49.9</v>
      </c>
      <c r="I55" s="5">
        <f>IF(D55="","",E55*D55/100)</f>
        <v/>
      </c>
      <c r="J55" s="5">
        <f>IF(D55="","",F55*D55/100)</f>
        <v/>
      </c>
      <c r="K55" s="5">
        <f>IF(D55="","",G55*D55/100)</f>
        <v/>
      </c>
      <c r="L55" s="5">
        <f>IF(D55="","",H55*D55/100)</f>
        <v/>
      </c>
      <c r="M55" s="2" t="inlineStr"/>
      <c r="N55" s="2" t="inlineStr">
        <is>
          <t>TBCA/TACO; USDA FoodData Central (complementar)</t>
        </is>
      </c>
    </row>
    <row r="56">
      <c r="A56" s="2" t="inlineStr">
        <is>
          <t>Gorduras boas</t>
        </is>
      </c>
      <c r="B56" s="2" t="inlineStr">
        <is>
          <t>Nozes</t>
        </is>
      </c>
      <c r="C56" s="2" t="inlineStr">
        <is>
          <t>10 g</t>
        </is>
      </c>
      <c r="D56" s="3" t="n">
        <v>10</v>
      </c>
      <c r="E56" s="4" t="n">
        <v>654</v>
      </c>
      <c r="F56" s="4" t="n">
        <v>15.2</v>
      </c>
      <c r="G56" s="4" t="n">
        <v>13.7</v>
      </c>
      <c r="H56" s="4" t="n">
        <v>65.2</v>
      </c>
      <c r="I56" s="5">
        <f>IF(D56="","",E56*D56/100)</f>
        <v/>
      </c>
      <c r="J56" s="5">
        <f>IF(D56="","",F56*D56/100)</f>
        <v/>
      </c>
      <c r="K56" s="5">
        <f>IF(D56="","",G56*D56/100)</f>
        <v/>
      </c>
      <c r="L56" s="5">
        <f>IF(D56="","",H56*D56/100)</f>
        <v/>
      </c>
      <c r="M56" s="2" t="inlineStr"/>
      <c r="N56" s="2" t="inlineStr">
        <is>
          <t>TBCA/TACO; USDA FoodData Central (complementar)</t>
        </is>
      </c>
    </row>
    <row r="57">
      <c r="A57" s="2" t="inlineStr">
        <is>
          <t>Gorduras boas</t>
        </is>
      </c>
      <c r="B57" s="2" t="inlineStr">
        <is>
          <t>Avelã</t>
        </is>
      </c>
      <c r="C57" s="2" t="inlineStr">
        <is>
          <t>12 g</t>
        </is>
      </c>
      <c r="D57" s="3" t="n">
        <v>12</v>
      </c>
      <c r="E57" s="4" t="n">
        <v>628</v>
      </c>
      <c r="F57" s="4" t="n">
        <v>15</v>
      </c>
      <c r="G57" s="4" t="n">
        <v>16.7</v>
      </c>
      <c r="H57" s="4" t="n">
        <v>60.8</v>
      </c>
      <c r="I57" s="5">
        <f>IF(D57="","",E57*D57/100)</f>
        <v/>
      </c>
      <c r="J57" s="5">
        <f>IF(D57="","",F57*D57/100)</f>
        <v/>
      </c>
      <c r="K57" s="5">
        <f>IF(D57="","",G57*D57/100)</f>
        <v/>
      </c>
      <c r="L57" s="5">
        <f>IF(D57="","",H57*D57/100)</f>
        <v/>
      </c>
      <c r="M57" s="2" t="inlineStr"/>
      <c r="N57" s="2" t="inlineStr">
        <is>
          <t>TBCA/TACO; USDA FoodData Central (complementar)</t>
        </is>
      </c>
    </row>
    <row r="58">
      <c r="A58" s="2" t="inlineStr">
        <is>
          <t>Gorduras boas</t>
        </is>
      </c>
      <c r="B58" s="2" t="inlineStr">
        <is>
          <t>Macadâmia</t>
        </is>
      </c>
      <c r="C58" s="2" t="inlineStr">
        <is>
          <t>10 g</t>
        </is>
      </c>
      <c r="D58" s="3" t="n">
        <v>10</v>
      </c>
      <c r="E58" s="4" t="n">
        <v>718</v>
      </c>
      <c r="F58" s="4" t="n">
        <v>7.9</v>
      </c>
      <c r="G58" s="4" t="n">
        <v>13.8</v>
      </c>
      <c r="H58" s="4" t="n">
        <v>75.8</v>
      </c>
      <c r="I58" s="5">
        <f>IF(D58="","",E58*D58/100)</f>
        <v/>
      </c>
      <c r="J58" s="5">
        <f>IF(D58="","",F58*D58/100)</f>
        <v/>
      </c>
      <c r="K58" s="5">
        <f>IF(D58="","",G58*D58/100)</f>
        <v/>
      </c>
      <c r="L58" s="5">
        <f>IF(D58="","",H58*D58/100)</f>
        <v/>
      </c>
      <c r="M58" s="2" t="inlineStr"/>
      <c r="N58" s="2" t="inlineStr">
        <is>
          <t>TBCA/TACO; USDA FoodData Central (complementar)</t>
        </is>
      </c>
    </row>
    <row r="59">
      <c r="A59" s="2" t="inlineStr">
        <is>
          <t>Gorduras boas</t>
        </is>
      </c>
      <c r="B59" s="2" t="inlineStr">
        <is>
          <t>Pasta de amendoim integral</t>
        </is>
      </c>
      <c r="C59" s="2" t="inlineStr">
        <is>
          <t>15 g</t>
        </is>
      </c>
      <c r="D59" s="3" t="n">
        <v>15</v>
      </c>
      <c r="E59" s="4" t="n">
        <v>588</v>
      </c>
      <c r="F59" s="4" t="n">
        <v>25.1</v>
      </c>
      <c r="G59" s="4" t="n">
        <v>20</v>
      </c>
      <c r="H59" s="4" t="n">
        <v>50.4</v>
      </c>
      <c r="I59" s="5">
        <f>IF(D59="","",E59*D59/100)</f>
        <v/>
      </c>
      <c r="J59" s="5">
        <f>IF(D59="","",F59*D59/100)</f>
        <v/>
      </c>
      <c r="K59" s="5">
        <f>IF(D59="","",G59*D59/100)</f>
        <v/>
      </c>
      <c r="L59" s="5">
        <f>IF(D59="","",H59*D59/100)</f>
        <v/>
      </c>
      <c r="M59" s="2" t="inlineStr">
        <is>
          <t>Sem açúcar adicionado; marcas variam.</t>
        </is>
      </c>
      <c r="N59" s="2" t="inlineStr">
        <is>
          <t>TBCA/TACO; USDA FoodData Central (complementar)</t>
        </is>
      </c>
    </row>
    <row r="60">
      <c r="A60" s="2" t="inlineStr">
        <is>
          <t>Gorduras boas</t>
        </is>
      </c>
      <c r="B60" s="2" t="inlineStr">
        <is>
          <t>Sementes de chia</t>
        </is>
      </c>
      <c r="C60" s="2" t="inlineStr">
        <is>
          <t>10 g</t>
        </is>
      </c>
      <c r="D60" s="3" t="n">
        <v>10</v>
      </c>
      <c r="E60" s="4" t="n">
        <v>486</v>
      </c>
      <c r="F60" s="4" t="n">
        <v>16.5</v>
      </c>
      <c r="G60" s="4" t="n">
        <v>42.1</v>
      </c>
      <c r="H60" s="4" t="n">
        <v>30.7</v>
      </c>
      <c r="I60" s="5">
        <f>IF(D60="","",E60*D60/100)</f>
        <v/>
      </c>
      <c r="J60" s="5">
        <f>IF(D60="","",F60*D60/100)</f>
        <v/>
      </c>
      <c r="K60" s="5">
        <f>IF(D60="","",G60*D60/100)</f>
        <v/>
      </c>
      <c r="L60" s="5">
        <f>IF(D60="","",H60*D60/100)</f>
        <v/>
      </c>
      <c r="M60" s="2" t="inlineStr"/>
      <c r="N60" s="2" t="inlineStr">
        <is>
          <t>TBCA/TACO; USDA FoodData Central (complementar)</t>
        </is>
      </c>
    </row>
    <row r="61">
      <c r="A61" s="2" t="inlineStr">
        <is>
          <t>Gorduras boas</t>
        </is>
      </c>
      <c r="B61" s="2" t="inlineStr">
        <is>
          <t>Sementes de linhaça</t>
        </is>
      </c>
      <c r="C61" s="2" t="inlineStr">
        <is>
          <t>10 g</t>
        </is>
      </c>
      <c r="D61" s="3" t="n">
        <v>10</v>
      </c>
      <c r="E61" s="4" t="n">
        <v>534</v>
      </c>
      <c r="F61" s="4" t="n">
        <v>18.3</v>
      </c>
      <c r="G61" s="4" t="n">
        <v>28.9</v>
      </c>
      <c r="H61" s="4" t="n">
        <v>42.2</v>
      </c>
      <c r="I61" s="5">
        <f>IF(D61="","",E61*D61/100)</f>
        <v/>
      </c>
      <c r="J61" s="5">
        <f>IF(D61="","",F61*D61/100)</f>
        <v/>
      </c>
      <c r="K61" s="5">
        <f>IF(D61="","",G61*D61/100)</f>
        <v/>
      </c>
      <c r="L61" s="5">
        <f>IF(D61="","",H61*D61/100)</f>
        <v/>
      </c>
      <c r="M61" s="2" t="inlineStr"/>
      <c r="N61" s="2" t="inlineStr">
        <is>
          <t>TBCA/TACO; USDA FoodData Central (complementar)</t>
        </is>
      </c>
    </row>
    <row r="62">
      <c r="A62" s="2" t="inlineStr">
        <is>
          <t>Gorduras boas</t>
        </is>
      </c>
      <c r="B62" s="2" t="inlineStr">
        <is>
          <t>Sementes de girassol</t>
        </is>
      </c>
      <c r="C62" s="2" t="inlineStr">
        <is>
          <t>12 g</t>
        </is>
      </c>
      <c r="D62" s="3" t="n">
        <v>12</v>
      </c>
      <c r="E62" s="4" t="n">
        <v>584</v>
      </c>
      <c r="F62" s="4" t="n">
        <v>20.8</v>
      </c>
      <c r="G62" s="4" t="n">
        <v>20</v>
      </c>
      <c r="H62" s="4" t="n">
        <v>51.5</v>
      </c>
      <c r="I62" s="5">
        <f>IF(D62="","",E62*D62/100)</f>
        <v/>
      </c>
      <c r="J62" s="5">
        <f>IF(D62="","",F62*D62/100)</f>
        <v/>
      </c>
      <c r="K62" s="5">
        <f>IF(D62="","",G62*D62/100)</f>
        <v/>
      </c>
      <c r="L62" s="5">
        <f>IF(D62="","",H62*D62/100)</f>
        <v/>
      </c>
      <c r="M62" s="2" t="inlineStr"/>
      <c r="N62" s="2" t="inlineStr">
        <is>
          <t>TBCA/TACO; USDA FoodData Central (complementar)</t>
        </is>
      </c>
    </row>
    <row r="63">
      <c r="A63" s="2" t="inlineStr">
        <is>
          <t>Folhas verdes</t>
        </is>
      </c>
      <c r="B63" s="2" t="inlineStr">
        <is>
          <t>Alface lisa</t>
        </is>
      </c>
      <c r="C63" s="2" t="inlineStr">
        <is>
          <t>À vontade</t>
        </is>
      </c>
      <c r="D63" s="6" t="n"/>
      <c r="E63" s="4" t="n">
        <v>14</v>
      </c>
      <c r="F63" s="4" t="n">
        <v>1.4</v>
      </c>
      <c r="G63" s="4" t="n">
        <v>2.9</v>
      </c>
      <c r="H63" s="4" t="n">
        <v>0.2</v>
      </c>
      <c r="I63" s="5">
        <f>IF(D63="","",E63*D63/100)</f>
        <v/>
      </c>
      <c r="J63" s="5">
        <f>IF(D63="","",F63*D63/100)</f>
        <v/>
      </c>
      <c r="K63" s="5">
        <f>IF(D63="","",G63*D63/100)</f>
        <v/>
      </c>
      <c r="L63" s="5">
        <f>IF(D63="","",H63*D63/100)</f>
        <v/>
      </c>
      <c r="M63" s="2" t="inlineStr">
        <is>
          <t>Valores por 100 g para comparação; o protocolo não fixa gramas.</t>
        </is>
      </c>
      <c r="N63" s="2" t="inlineStr">
        <is>
          <t>TBCA/TACO; USDA FoodData Central (complementar)</t>
        </is>
      </c>
    </row>
    <row r="64">
      <c r="A64" s="2" t="inlineStr">
        <is>
          <t>Folhas verdes</t>
        </is>
      </c>
      <c r="B64" s="2" t="inlineStr">
        <is>
          <t>Alface crespa</t>
        </is>
      </c>
      <c r="C64" s="2" t="inlineStr">
        <is>
          <t>À vontade</t>
        </is>
      </c>
      <c r="D64" s="6" t="n"/>
      <c r="E64" s="4" t="n">
        <v>15</v>
      </c>
      <c r="F64" s="4" t="n">
        <v>1.4</v>
      </c>
      <c r="G64" s="4" t="n">
        <v>2.9</v>
      </c>
      <c r="H64" s="4" t="n">
        <v>0.2</v>
      </c>
      <c r="I64" s="5">
        <f>IF(D64="","",E64*D64/100)</f>
        <v/>
      </c>
      <c r="J64" s="5">
        <f>IF(D64="","",F64*D64/100)</f>
        <v/>
      </c>
      <c r="K64" s="5">
        <f>IF(D64="","",G64*D64/100)</f>
        <v/>
      </c>
      <c r="L64" s="5">
        <f>IF(D64="","",H64*D64/100)</f>
        <v/>
      </c>
      <c r="M64" s="2" t="inlineStr">
        <is>
          <t>Valores por 100 g para comparação; o protocolo não fixa gramas.</t>
        </is>
      </c>
      <c r="N64" s="2" t="inlineStr">
        <is>
          <t>TBCA/TACO; USDA FoodData Central (complementar)</t>
        </is>
      </c>
    </row>
    <row r="65">
      <c r="A65" s="2" t="inlineStr">
        <is>
          <t>Folhas verdes</t>
        </is>
      </c>
      <c r="B65" s="2" t="inlineStr">
        <is>
          <t>Alface americana</t>
        </is>
      </c>
      <c r="C65" s="2" t="inlineStr">
        <is>
          <t>À vontade</t>
        </is>
      </c>
      <c r="D65" s="6" t="n"/>
      <c r="E65" s="4" t="n">
        <v>14</v>
      </c>
      <c r="F65" s="4" t="n">
        <v>0.9</v>
      </c>
      <c r="G65" s="4" t="n">
        <v>3</v>
      </c>
      <c r="H65" s="4" t="n">
        <v>0.1</v>
      </c>
      <c r="I65" s="5">
        <f>IF(D65="","",E65*D65/100)</f>
        <v/>
      </c>
      <c r="J65" s="5">
        <f>IF(D65="","",F65*D65/100)</f>
        <v/>
      </c>
      <c r="K65" s="5">
        <f>IF(D65="","",G65*D65/100)</f>
        <v/>
      </c>
      <c r="L65" s="5">
        <f>IF(D65="","",H65*D65/100)</f>
        <v/>
      </c>
      <c r="M65" s="2" t="inlineStr">
        <is>
          <t>Valores por 100 g para comparação; o protocolo não fixa gramas.</t>
        </is>
      </c>
      <c r="N65" s="2" t="inlineStr">
        <is>
          <t>TBCA/TACO; USDA FoodData Central (complementar)</t>
        </is>
      </c>
    </row>
    <row r="66">
      <c r="A66" s="2" t="inlineStr">
        <is>
          <t>Folhas verdes</t>
        </is>
      </c>
      <c r="B66" s="2" t="inlineStr">
        <is>
          <t>Alface roxa</t>
        </is>
      </c>
      <c r="C66" s="2" t="inlineStr">
        <is>
          <t>À vontade</t>
        </is>
      </c>
      <c r="D66" s="6" t="n"/>
      <c r="E66" s="4" t="n">
        <v>15</v>
      </c>
      <c r="F66" s="4" t="n">
        <v>1.4</v>
      </c>
      <c r="G66" s="4" t="n">
        <v>2.9</v>
      </c>
      <c r="H66" s="4" t="n">
        <v>0.2</v>
      </c>
      <c r="I66" s="5">
        <f>IF(D66="","",E66*D66/100)</f>
        <v/>
      </c>
      <c r="J66" s="5">
        <f>IF(D66="","",F66*D66/100)</f>
        <v/>
      </c>
      <c r="K66" s="5">
        <f>IF(D66="","",G66*D66/100)</f>
        <v/>
      </c>
      <c r="L66" s="5">
        <f>IF(D66="","",H66*D66/100)</f>
        <v/>
      </c>
      <c r="M66" s="2" t="inlineStr">
        <is>
          <t>Valores por 100 g para comparação; o protocolo não fixa gramas.</t>
        </is>
      </c>
      <c r="N66" s="2" t="inlineStr">
        <is>
          <t>TBCA/TACO; USDA FoodData Central (complementar)</t>
        </is>
      </c>
    </row>
    <row r="67">
      <c r="A67" s="2" t="inlineStr">
        <is>
          <t>Folhas verdes</t>
        </is>
      </c>
      <c r="B67" s="2" t="inlineStr">
        <is>
          <t>Rúcula</t>
        </is>
      </c>
      <c r="C67" s="2" t="inlineStr">
        <is>
          <t>À vontade</t>
        </is>
      </c>
      <c r="D67" s="6" t="n"/>
      <c r="E67" s="4" t="n">
        <v>25</v>
      </c>
      <c r="F67" s="4" t="n">
        <v>2.6</v>
      </c>
      <c r="G67" s="4" t="n">
        <v>3.7</v>
      </c>
      <c r="H67" s="4" t="n">
        <v>0.7</v>
      </c>
      <c r="I67" s="5">
        <f>IF(D67="","",E67*D67/100)</f>
        <v/>
      </c>
      <c r="J67" s="5">
        <f>IF(D67="","",F67*D67/100)</f>
        <v/>
      </c>
      <c r="K67" s="5">
        <f>IF(D67="","",G67*D67/100)</f>
        <v/>
      </c>
      <c r="L67" s="5">
        <f>IF(D67="","",H67*D67/100)</f>
        <v/>
      </c>
      <c r="M67" s="2" t="inlineStr">
        <is>
          <t>Valores por 100 g para comparação; o protocolo não fixa gramas.</t>
        </is>
      </c>
      <c r="N67" s="2" t="inlineStr">
        <is>
          <t>TBCA/TACO; USDA FoodData Central (complementar)</t>
        </is>
      </c>
    </row>
    <row r="68">
      <c r="A68" s="2" t="inlineStr">
        <is>
          <t>Folhas verdes</t>
        </is>
      </c>
      <c r="B68" s="2" t="inlineStr">
        <is>
          <t>Espinafre</t>
        </is>
      </c>
      <c r="C68" s="2" t="inlineStr">
        <is>
          <t>À vontade</t>
        </is>
      </c>
      <c r="D68" s="6" t="n"/>
      <c r="E68" s="4" t="n">
        <v>23</v>
      </c>
      <c r="F68" s="4" t="n">
        <v>2.9</v>
      </c>
      <c r="G68" s="4" t="n">
        <v>3.6</v>
      </c>
      <c r="H68" s="4" t="n">
        <v>0.4</v>
      </c>
      <c r="I68" s="5">
        <f>IF(D68="","",E68*D68/100)</f>
        <v/>
      </c>
      <c r="J68" s="5">
        <f>IF(D68="","",F68*D68/100)</f>
        <v/>
      </c>
      <c r="K68" s="5">
        <f>IF(D68="","",G68*D68/100)</f>
        <v/>
      </c>
      <c r="L68" s="5">
        <f>IF(D68="","",H68*D68/100)</f>
        <v/>
      </c>
      <c r="M68" s="2" t="inlineStr">
        <is>
          <t>Valores por 100 g para comparação; o protocolo não fixa gramas.</t>
        </is>
      </c>
      <c r="N68" s="2" t="inlineStr">
        <is>
          <t>TBCA/TACO; USDA FoodData Central (complementar)</t>
        </is>
      </c>
    </row>
    <row r="69">
      <c r="A69" s="2" t="inlineStr">
        <is>
          <t>Folhas verdes</t>
        </is>
      </c>
      <c r="B69" s="2" t="inlineStr">
        <is>
          <t>Agrião</t>
        </is>
      </c>
      <c r="C69" s="2" t="inlineStr">
        <is>
          <t>À vontade</t>
        </is>
      </c>
      <c r="D69" s="6" t="n"/>
      <c r="E69" s="4" t="n">
        <v>11</v>
      </c>
      <c r="F69" s="4" t="n">
        <v>2.3</v>
      </c>
      <c r="G69" s="4" t="n">
        <v>1.3</v>
      </c>
      <c r="H69" s="4" t="n">
        <v>0.1</v>
      </c>
      <c r="I69" s="5">
        <f>IF(D69="","",E69*D69/100)</f>
        <v/>
      </c>
      <c r="J69" s="5">
        <f>IF(D69="","",F69*D69/100)</f>
        <v/>
      </c>
      <c r="K69" s="5">
        <f>IF(D69="","",G69*D69/100)</f>
        <v/>
      </c>
      <c r="L69" s="5">
        <f>IF(D69="","",H69*D69/100)</f>
        <v/>
      </c>
      <c r="M69" s="2" t="inlineStr">
        <is>
          <t>Valores por 100 g para comparação; o protocolo não fixa gramas.</t>
        </is>
      </c>
      <c r="N69" s="2" t="inlineStr">
        <is>
          <t>TBCA/TACO; USDA FoodData Central (complementar)</t>
        </is>
      </c>
    </row>
    <row r="70">
      <c r="A70" s="2" t="inlineStr">
        <is>
          <t>Folhas verdes</t>
        </is>
      </c>
      <c r="B70" s="2" t="inlineStr">
        <is>
          <t>Couve</t>
        </is>
      </c>
      <c r="C70" s="2" t="inlineStr">
        <is>
          <t>À vontade</t>
        </is>
      </c>
      <c r="D70" s="6" t="n"/>
      <c r="E70" s="4" t="n">
        <v>32</v>
      </c>
      <c r="F70" s="4" t="n">
        <v>3</v>
      </c>
      <c r="G70" s="4" t="n">
        <v>5.6</v>
      </c>
      <c r="H70" s="4" t="n">
        <v>0.6</v>
      </c>
      <c r="I70" s="5">
        <f>IF(D70="","",E70*D70/100)</f>
        <v/>
      </c>
      <c r="J70" s="5">
        <f>IF(D70="","",F70*D70/100)</f>
        <v/>
      </c>
      <c r="K70" s="5">
        <f>IF(D70="","",G70*D70/100)</f>
        <v/>
      </c>
      <c r="L70" s="5">
        <f>IF(D70="","",H70*D70/100)</f>
        <v/>
      </c>
      <c r="M70" s="2" t="inlineStr">
        <is>
          <t>Valores por 100 g para comparação; o protocolo não fixa gramas.</t>
        </is>
      </c>
      <c r="N70" s="2" t="inlineStr">
        <is>
          <t>TBCA/TACO; USDA FoodData Central (complementar)</t>
        </is>
      </c>
    </row>
    <row r="71">
      <c r="A71" s="2" t="inlineStr">
        <is>
          <t>Folhas verdes</t>
        </is>
      </c>
      <c r="B71" s="2" t="inlineStr">
        <is>
          <t>Acelga</t>
        </is>
      </c>
      <c r="C71" s="2" t="inlineStr">
        <is>
          <t>À vontade</t>
        </is>
      </c>
      <c r="D71" s="6" t="n"/>
      <c r="E71" s="4" t="n">
        <v>19</v>
      </c>
      <c r="F71" s="4" t="n">
        <v>1.8</v>
      </c>
      <c r="G71" s="4" t="n">
        <v>3.7</v>
      </c>
      <c r="H71" s="4" t="n">
        <v>0.2</v>
      </c>
      <c r="I71" s="5">
        <f>IF(D71="","",E71*D71/100)</f>
        <v/>
      </c>
      <c r="J71" s="5">
        <f>IF(D71="","",F71*D71/100)</f>
        <v/>
      </c>
      <c r="K71" s="5">
        <f>IF(D71="","",G71*D71/100)</f>
        <v/>
      </c>
      <c r="L71" s="5">
        <f>IF(D71="","",H71*D71/100)</f>
        <v/>
      </c>
      <c r="M71" s="2" t="inlineStr">
        <is>
          <t>Valores por 100 g para comparação; o protocolo não fixa gramas.</t>
        </is>
      </c>
      <c r="N71" s="2" t="inlineStr">
        <is>
          <t>TBCA/TACO; USDA FoodData Central (complementar)</t>
        </is>
      </c>
    </row>
    <row r="72">
      <c r="A72" s="2" t="inlineStr">
        <is>
          <t>Folhas verdes</t>
        </is>
      </c>
      <c r="B72" s="2" t="inlineStr">
        <is>
          <t>Escarola</t>
        </is>
      </c>
      <c r="C72" s="2" t="inlineStr">
        <is>
          <t>À vontade</t>
        </is>
      </c>
      <c r="D72" s="6" t="n"/>
      <c r="E72" s="4" t="n">
        <v>17</v>
      </c>
      <c r="F72" s="4" t="n">
        <v>1.3</v>
      </c>
      <c r="G72" s="4" t="n">
        <v>3.4</v>
      </c>
      <c r="H72" s="4" t="n">
        <v>0.2</v>
      </c>
      <c r="I72" s="5">
        <f>IF(D72="","",E72*D72/100)</f>
        <v/>
      </c>
      <c r="J72" s="5">
        <f>IF(D72="","",F72*D72/100)</f>
        <v/>
      </c>
      <c r="K72" s="5">
        <f>IF(D72="","",G72*D72/100)</f>
        <v/>
      </c>
      <c r="L72" s="5">
        <f>IF(D72="","",H72*D72/100)</f>
        <v/>
      </c>
      <c r="M72" s="2" t="inlineStr">
        <is>
          <t>Valores por 100 g para comparação; o protocolo não fixa gramas.</t>
        </is>
      </c>
      <c r="N72" s="2" t="inlineStr">
        <is>
          <t>TBCA/TACO; USDA FoodData Central (complementar)</t>
        </is>
      </c>
    </row>
    <row r="73">
      <c r="A73" s="2" t="inlineStr">
        <is>
          <t>Folhas verdes</t>
        </is>
      </c>
      <c r="B73" s="2" t="inlineStr">
        <is>
          <t>Chicória</t>
        </is>
      </c>
      <c r="C73" s="2" t="inlineStr">
        <is>
          <t>À vontade</t>
        </is>
      </c>
      <c r="D73" s="6" t="n"/>
      <c r="E73" s="4" t="n">
        <v>23</v>
      </c>
      <c r="F73" s="4" t="n">
        <v>1.7</v>
      </c>
      <c r="G73" s="4" t="n">
        <v>4.7</v>
      </c>
      <c r="H73" s="4" t="n">
        <v>0.3</v>
      </c>
      <c r="I73" s="5">
        <f>IF(D73="","",E73*D73/100)</f>
        <v/>
      </c>
      <c r="J73" s="5">
        <f>IF(D73="","",F73*D73/100)</f>
        <v/>
      </c>
      <c r="K73" s="5">
        <f>IF(D73="","",G73*D73/100)</f>
        <v/>
      </c>
      <c r="L73" s="5">
        <f>IF(D73="","",H73*D73/100)</f>
        <v/>
      </c>
      <c r="M73" s="2" t="inlineStr">
        <is>
          <t>Valores por 100 g para comparação; o protocolo não fixa gramas.</t>
        </is>
      </c>
      <c r="N73" s="2" t="inlineStr">
        <is>
          <t>TBCA/TACO; USDA FoodData Central (complementar)</t>
        </is>
      </c>
    </row>
    <row r="74">
      <c r="A74" s="2" t="inlineStr">
        <is>
          <t>Folhas verdes</t>
        </is>
      </c>
      <c r="B74" s="2" t="inlineStr">
        <is>
          <t>Almeirão</t>
        </is>
      </c>
      <c r="C74" s="2" t="inlineStr">
        <is>
          <t>À vontade</t>
        </is>
      </c>
      <c r="D74" s="6" t="n"/>
      <c r="E74" s="4" t="n">
        <v>23</v>
      </c>
      <c r="F74" s="4" t="n">
        <v>1.7</v>
      </c>
      <c r="G74" s="4" t="n">
        <v>4.7</v>
      </c>
      <c r="H74" s="4" t="n">
        <v>0.3</v>
      </c>
      <c r="I74" s="5">
        <f>IF(D74="","",E74*D74/100)</f>
        <v/>
      </c>
      <c r="J74" s="5">
        <f>IF(D74="","",F74*D74/100)</f>
        <v/>
      </c>
      <c r="K74" s="5">
        <f>IF(D74="","",G74*D74/100)</f>
        <v/>
      </c>
      <c r="L74" s="5">
        <f>IF(D74="","",H74*D74/100)</f>
        <v/>
      </c>
      <c r="M74" s="2" t="inlineStr">
        <is>
          <t>Valores por 100 g para comparação; o protocolo não fixa gramas.</t>
        </is>
      </c>
      <c r="N74" s="2" t="inlineStr">
        <is>
          <t>TBCA/TACO; USDA FoodData Central (complementar)</t>
        </is>
      </c>
    </row>
    <row r="75">
      <c r="A75" s="2" t="inlineStr">
        <is>
          <t>Folhas verdes</t>
        </is>
      </c>
      <c r="B75" s="2" t="inlineStr">
        <is>
          <t>Bertalha</t>
        </is>
      </c>
      <c r="C75" s="2" t="inlineStr">
        <is>
          <t>À vontade</t>
        </is>
      </c>
      <c r="D75" s="6" t="n"/>
      <c r="E75" s="4" t="n">
        <v>19</v>
      </c>
      <c r="F75" s="4" t="n">
        <v>1.8</v>
      </c>
      <c r="G75" s="4" t="n">
        <v>3.4</v>
      </c>
      <c r="H75" s="4" t="n">
        <v>0.3</v>
      </c>
      <c r="I75" s="5">
        <f>IF(D75="","",E75*D75/100)</f>
        <v/>
      </c>
      <c r="J75" s="5">
        <f>IF(D75="","",F75*D75/100)</f>
        <v/>
      </c>
      <c r="K75" s="5">
        <f>IF(D75="","",G75*D75/100)</f>
        <v/>
      </c>
      <c r="L75" s="5">
        <f>IF(D75="","",H75*D75/100)</f>
        <v/>
      </c>
      <c r="M75" s="2" t="inlineStr">
        <is>
          <t>Valores por 100 g para comparação; o protocolo não fixa gramas.</t>
        </is>
      </c>
      <c r="N75" s="2" t="inlineStr">
        <is>
          <t>TBCA/TACO; USDA FoodData Central (complementar)</t>
        </is>
      </c>
    </row>
    <row r="76">
      <c r="A76" s="2" t="inlineStr">
        <is>
          <t>Folhas verdes</t>
        </is>
      </c>
      <c r="B76" s="2" t="inlineStr">
        <is>
          <t>Radicchio</t>
        </is>
      </c>
      <c r="C76" s="2" t="inlineStr">
        <is>
          <t>À vontade</t>
        </is>
      </c>
      <c r="D76" s="6" t="n"/>
      <c r="E76" s="4" t="n">
        <v>23</v>
      </c>
      <c r="F76" s="4" t="n">
        <v>1.4</v>
      </c>
      <c r="G76" s="4" t="n">
        <v>4.5</v>
      </c>
      <c r="H76" s="4" t="n">
        <v>0.3</v>
      </c>
      <c r="I76" s="5">
        <f>IF(D76="","",E76*D76/100)</f>
        <v/>
      </c>
      <c r="J76" s="5">
        <f>IF(D76="","",F76*D76/100)</f>
        <v/>
      </c>
      <c r="K76" s="5">
        <f>IF(D76="","",G76*D76/100)</f>
        <v/>
      </c>
      <c r="L76" s="5">
        <f>IF(D76="","",H76*D76/100)</f>
        <v/>
      </c>
      <c r="M76" s="2" t="inlineStr">
        <is>
          <t>Valores por 100 g para comparação; o protocolo não fixa gramas.</t>
        </is>
      </c>
      <c r="N76" s="2" t="inlineStr">
        <is>
          <t>TBCA/TACO; USDA FoodData Central (complementar)</t>
        </is>
      </c>
    </row>
    <row r="77">
      <c r="A77" s="2" t="inlineStr">
        <is>
          <t>Folhas verdes</t>
        </is>
      </c>
      <c r="B77" s="2" t="inlineStr">
        <is>
          <t>Folha de mostarda</t>
        </is>
      </c>
      <c r="C77" s="2" t="inlineStr">
        <is>
          <t>À vontade</t>
        </is>
      </c>
      <c r="D77" s="6" t="n"/>
      <c r="E77" s="4" t="n">
        <v>27</v>
      </c>
      <c r="F77" s="4" t="n">
        <v>2.9</v>
      </c>
      <c r="G77" s="4" t="n">
        <v>4.7</v>
      </c>
      <c r="H77" s="4" t="n">
        <v>0.4</v>
      </c>
      <c r="I77" s="5">
        <f>IF(D77="","",E77*D77/100)</f>
        <v/>
      </c>
      <c r="J77" s="5">
        <f>IF(D77="","",F77*D77/100)</f>
        <v/>
      </c>
      <c r="K77" s="5">
        <f>IF(D77="","",G77*D77/100)</f>
        <v/>
      </c>
      <c r="L77" s="5">
        <f>IF(D77="","",H77*D77/100)</f>
        <v/>
      </c>
      <c r="M77" s="2" t="inlineStr">
        <is>
          <t>Valores por 100 g para comparação; o protocolo não fixa gramas.</t>
        </is>
      </c>
      <c r="N77" s="2" t="inlineStr">
        <is>
          <t>TBCA/TACO; USDA FoodData Central (complementar)</t>
        </is>
      </c>
    </row>
    <row r="78">
      <c r="A78" s="2" t="inlineStr">
        <is>
          <t>Legumes low-carb</t>
        </is>
      </c>
      <c r="B78" s="2" t="inlineStr">
        <is>
          <t>Abobrinha</t>
        </is>
      </c>
      <c r="C78" s="2" t="inlineStr">
        <is>
          <t>Até 200 g</t>
        </is>
      </c>
      <c r="D78" s="3" t="n">
        <v>200</v>
      </c>
      <c r="E78" s="4" t="n">
        <v>17</v>
      </c>
      <c r="F78" s="4" t="n">
        <v>1.2</v>
      </c>
      <c r="G78" s="4" t="n">
        <v>3.1</v>
      </c>
      <c r="H78" s="4" t="n">
        <v>0.3</v>
      </c>
      <c r="I78" s="5">
        <f>IF(D78="","",E78*D78/100)</f>
        <v/>
      </c>
      <c r="J78" s="5">
        <f>IF(D78="","",F78*D78/100)</f>
        <v/>
      </c>
      <c r="K78" s="5">
        <f>IF(D78="","",G78*D78/100)</f>
        <v/>
      </c>
      <c r="L78" s="5">
        <f>IF(D78="","",H78*D78/100)</f>
        <v/>
      </c>
      <c r="M78" s="2" t="inlineStr">
        <is>
          <t>Macros exibidos por 100 g; coluna de porção calcula 200 g.</t>
        </is>
      </c>
      <c r="N78" s="2" t="inlineStr">
        <is>
          <t>TBCA/TACO; USDA FoodData Central (complementar)</t>
        </is>
      </c>
    </row>
    <row r="79">
      <c r="A79" s="2" t="inlineStr">
        <is>
          <t>Legumes low-carb</t>
        </is>
      </c>
      <c r="B79" s="2" t="inlineStr">
        <is>
          <t>Brócolis</t>
        </is>
      </c>
      <c r="C79" s="2" t="inlineStr">
        <is>
          <t>Até 200 g</t>
        </is>
      </c>
      <c r="D79" s="3" t="n">
        <v>200</v>
      </c>
      <c r="E79" s="4" t="n">
        <v>34</v>
      </c>
      <c r="F79" s="4" t="n">
        <v>2.8</v>
      </c>
      <c r="G79" s="4" t="n">
        <v>6.6</v>
      </c>
      <c r="H79" s="4" t="n">
        <v>0.4</v>
      </c>
      <c r="I79" s="5">
        <f>IF(D79="","",E79*D79/100)</f>
        <v/>
      </c>
      <c r="J79" s="5">
        <f>IF(D79="","",F79*D79/100)</f>
        <v/>
      </c>
      <c r="K79" s="5">
        <f>IF(D79="","",G79*D79/100)</f>
        <v/>
      </c>
      <c r="L79" s="5">
        <f>IF(D79="","",H79*D79/100)</f>
        <v/>
      </c>
      <c r="M79" s="2" t="inlineStr">
        <is>
          <t>Macros exibidos por 100 g; coluna de porção calcula 200 g.</t>
        </is>
      </c>
      <c r="N79" s="2" t="inlineStr">
        <is>
          <t>TBCA/TACO; USDA FoodData Central (complementar)</t>
        </is>
      </c>
    </row>
    <row r="80">
      <c r="A80" s="2" t="inlineStr">
        <is>
          <t>Legumes low-carb</t>
        </is>
      </c>
      <c r="B80" s="2" t="inlineStr">
        <is>
          <t>Couve-flor</t>
        </is>
      </c>
      <c r="C80" s="2" t="inlineStr">
        <is>
          <t>Até 200 g</t>
        </is>
      </c>
      <c r="D80" s="3" t="n">
        <v>200</v>
      </c>
      <c r="E80" s="4" t="n">
        <v>25</v>
      </c>
      <c r="F80" s="4" t="n">
        <v>1.9</v>
      </c>
      <c r="G80" s="4" t="n">
        <v>5</v>
      </c>
      <c r="H80" s="4" t="n">
        <v>0.3</v>
      </c>
      <c r="I80" s="5">
        <f>IF(D80="","",E80*D80/100)</f>
        <v/>
      </c>
      <c r="J80" s="5">
        <f>IF(D80="","",F80*D80/100)</f>
        <v/>
      </c>
      <c r="K80" s="5">
        <f>IF(D80="","",G80*D80/100)</f>
        <v/>
      </c>
      <c r="L80" s="5">
        <f>IF(D80="","",H80*D80/100)</f>
        <v/>
      </c>
      <c r="M80" s="2" t="inlineStr">
        <is>
          <t>Macros exibidos por 100 g; coluna de porção calcula 200 g.</t>
        </is>
      </c>
      <c r="N80" s="2" t="inlineStr">
        <is>
          <t>TBCA/TACO; USDA FoodData Central (complementar)</t>
        </is>
      </c>
    </row>
    <row r="81">
      <c r="A81" s="2" t="inlineStr">
        <is>
          <t>Legumes low-carb</t>
        </is>
      </c>
      <c r="B81" s="2" t="inlineStr">
        <is>
          <t>Berinjela</t>
        </is>
      </c>
      <c r="C81" s="2" t="inlineStr">
        <is>
          <t>Até 200 g</t>
        </is>
      </c>
      <c r="D81" s="3" t="n">
        <v>200</v>
      </c>
      <c r="E81" s="4" t="n">
        <v>25</v>
      </c>
      <c r="F81" s="4" t="n">
        <v>1</v>
      </c>
      <c r="G81" s="4" t="n">
        <v>5.9</v>
      </c>
      <c r="H81" s="4" t="n">
        <v>0.2</v>
      </c>
      <c r="I81" s="5">
        <f>IF(D81="","",E81*D81/100)</f>
        <v/>
      </c>
      <c r="J81" s="5">
        <f>IF(D81="","",F81*D81/100)</f>
        <v/>
      </c>
      <c r="K81" s="5">
        <f>IF(D81="","",G81*D81/100)</f>
        <v/>
      </c>
      <c r="L81" s="5">
        <f>IF(D81="","",H81*D81/100)</f>
        <v/>
      </c>
      <c r="M81" s="2" t="inlineStr">
        <is>
          <t>Macros exibidos por 100 g; coluna de porção calcula 200 g.</t>
        </is>
      </c>
      <c r="N81" s="2" t="inlineStr">
        <is>
          <t>TBCA/TACO; USDA FoodData Central (complementar)</t>
        </is>
      </c>
    </row>
    <row r="82">
      <c r="A82" s="2" t="inlineStr">
        <is>
          <t>Legumes low-carb</t>
        </is>
      </c>
      <c r="B82" s="2" t="inlineStr">
        <is>
          <t>Chuchu</t>
        </is>
      </c>
      <c r="C82" s="2" t="inlineStr">
        <is>
          <t>Até 200 g</t>
        </is>
      </c>
      <c r="D82" s="3" t="n">
        <v>200</v>
      </c>
      <c r="E82" s="4" t="n">
        <v>19</v>
      </c>
      <c r="F82" s="4" t="n">
        <v>0.8</v>
      </c>
      <c r="G82" s="4" t="n">
        <v>4.5</v>
      </c>
      <c r="H82" s="4" t="n">
        <v>0.1</v>
      </c>
      <c r="I82" s="5">
        <f>IF(D82="","",E82*D82/100)</f>
        <v/>
      </c>
      <c r="J82" s="5">
        <f>IF(D82="","",F82*D82/100)</f>
        <v/>
      </c>
      <c r="K82" s="5">
        <f>IF(D82="","",G82*D82/100)</f>
        <v/>
      </c>
      <c r="L82" s="5">
        <f>IF(D82="","",H82*D82/100)</f>
        <v/>
      </c>
      <c r="M82" s="2" t="inlineStr">
        <is>
          <t>Macros exibidos por 100 g; coluna de porção calcula 200 g.</t>
        </is>
      </c>
      <c r="N82" s="2" t="inlineStr">
        <is>
          <t>TBCA/TACO; USDA FoodData Central (complementar)</t>
        </is>
      </c>
    </row>
    <row r="83">
      <c r="A83" s="2" t="inlineStr">
        <is>
          <t>Legumes low-carb</t>
        </is>
      </c>
      <c r="B83" s="2" t="inlineStr">
        <is>
          <t>Pepino</t>
        </is>
      </c>
      <c r="C83" s="2" t="inlineStr">
        <is>
          <t>Até 200 g</t>
        </is>
      </c>
      <c r="D83" s="3" t="n">
        <v>200</v>
      </c>
      <c r="E83" s="4" t="n">
        <v>15</v>
      </c>
      <c r="F83" s="4" t="n">
        <v>0.7</v>
      </c>
      <c r="G83" s="4" t="n">
        <v>3.6</v>
      </c>
      <c r="H83" s="4" t="n">
        <v>0.1</v>
      </c>
      <c r="I83" s="5">
        <f>IF(D83="","",E83*D83/100)</f>
        <v/>
      </c>
      <c r="J83" s="5">
        <f>IF(D83="","",F83*D83/100)</f>
        <v/>
      </c>
      <c r="K83" s="5">
        <f>IF(D83="","",G83*D83/100)</f>
        <v/>
      </c>
      <c r="L83" s="5">
        <f>IF(D83="","",H83*D83/100)</f>
        <v/>
      </c>
      <c r="M83" s="2" t="inlineStr">
        <is>
          <t>Macros exibidos por 100 g; coluna de porção calcula 200 g.</t>
        </is>
      </c>
      <c r="N83" s="2" t="inlineStr">
        <is>
          <t>TBCA/TACO; USDA FoodData Central (complementar)</t>
        </is>
      </c>
    </row>
    <row r="84">
      <c r="A84" s="2" t="inlineStr">
        <is>
          <t>Legumes low-carb</t>
        </is>
      </c>
      <c r="B84" s="2" t="inlineStr">
        <is>
          <t>Tomate</t>
        </is>
      </c>
      <c r="C84" s="2" t="inlineStr">
        <is>
          <t>Até 200 g</t>
        </is>
      </c>
      <c r="D84" s="3" t="n">
        <v>200</v>
      </c>
      <c r="E84" s="4" t="n">
        <v>18</v>
      </c>
      <c r="F84" s="4" t="n">
        <v>0.9</v>
      </c>
      <c r="G84" s="4" t="n">
        <v>3.9</v>
      </c>
      <c r="H84" s="4" t="n">
        <v>0.2</v>
      </c>
      <c r="I84" s="5">
        <f>IF(D84="","",E84*D84/100)</f>
        <v/>
      </c>
      <c r="J84" s="5">
        <f>IF(D84="","",F84*D84/100)</f>
        <v/>
      </c>
      <c r="K84" s="5">
        <f>IF(D84="","",G84*D84/100)</f>
        <v/>
      </c>
      <c r="L84" s="5">
        <f>IF(D84="","",H84*D84/100)</f>
        <v/>
      </c>
      <c r="M84" s="2" t="inlineStr">
        <is>
          <t>Macros exibidos por 100 g; coluna de porção calcula 200 g.</t>
        </is>
      </c>
      <c r="N84" s="2" t="inlineStr">
        <is>
          <t>TBCA/TACO; USDA FoodData Central (complementar)</t>
        </is>
      </c>
    </row>
    <row r="85">
      <c r="A85" s="2" t="inlineStr">
        <is>
          <t>Legumes low-carb</t>
        </is>
      </c>
      <c r="B85" s="2" t="inlineStr">
        <is>
          <t>Pimentão verde</t>
        </is>
      </c>
      <c r="C85" s="2" t="inlineStr">
        <is>
          <t>Até 200 g</t>
        </is>
      </c>
      <c r="D85" s="3" t="n">
        <v>200</v>
      </c>
      <c r="E85" s="4" t="n">
        <v>20</v>
      </c>
      <c r="F85" s="4" t="n">
        <v>0.9</v>
      </c>
      <c r="G85" s="4" t="n">
        <v>4.6</v>
      </c>
      <c r="H85" s="4" t="n">
        <v>0.2</v>
      </c>
      <c r="I85" s="5">
        <f>IF(D85="","",E85*D85/100)</f>
        <v/>
      </c>
      <c r="J85" s="5">
        <f>IF(D85="","",F85*D85/100)</f>
        <v/>
      </c>
      <c r="K85" s="5">
        <f>IF(D85="","",G85*D85/100)</f>
        <v/>
      </c>
      <c r="L85" s="5">
        <f>IF(D85="","",H85*D85/100)</f>
        <v/>
      </c>
      <c r="M85" s="2" t="inlineStr">
        <is>
          <t>Macros exibidos por 100 g; coluna de porção calcula 200 g.</t>
        </is>
      </c>
      <c r="N85" s="2" t="inlineStr">
        <is>
          <t>TBCA/TACO; USDA FoodData Central (complementar)</t>
        </is>
      </c>
    </row>
    <row r="86">
      <c r="A86" s="2" t="inlineStr">
        <is>
          <t>Legumes low-carb</t>
        </is>
      </c>
      <c r="B86" s="2" t="inlineStr">
        <is>
          <t>Pimentão vermelho</t>
        </is>
      </c>
      <c r="C86" s="2" t="inlineStr">
        <is>
          <t>Até 200 g</t>
        </is>
      </c>
      <c r="D86" s="3" t="n">
        <v>200</v>
      </c>
      <c r="E86" s="4" t="n">
        <v>31</v>
      </c>
      <c r="F86" s="4" t="n">
        <v>1</v>
      </c>
      <c r="G86" s="4" t="n">
        <v>6</v>
      </c>
      <c r="H86" s="4" t="n">
        <v>0.3</v>
      </c>
      <c r="I86" s="5">
        <f>IF(D86="","",E86*D86/100)</f>
        <v/>
      </c>
      <c r="J86" s="5">
        <f>IF(D86="","",F86*D86/100)</f>
        <v/>
      </c>
      <c r="K86" s="5">
        <f>IF(D86="","",G86*D86/100)</f>
        <v/>
      </c>
      <c r="L86" s="5">
        <f>IF(D86="","",H86*D86/100)</f>
        <v/>
      </c>
      <c r="M86" s="2" t="inlineStr">
        <is>
          <t>Macros exibidos por 100 g; coluna de porção calcula 200 g.</t>
        </is>
      </c>
      <c r="N86" s="2" t="inlineStr">
        <is>
          <t>TBCA/TACO; USDA FoodData Central (complementar)</t>
        </is>
      </c>
    </row>
    <row r="87">
      <c r="A87" s="2" t="inlineStr">
        <is>
          <t>Legumes low-carb</t>
        </is>
      </c>
      <c r="B87" s="2" t="inlineStr">
        <is>
          <t>Pimentão amarelo</t>
        </is>
      </c>
      <c r="C87" s="2" t="inlineStr">
        <is>
          <t>Até 200 g</t>
        </is>
      </c>
      <c r="D87" s="3" t="n">
        <v>200</v>
      </c>
      <c r="E87" s="4" t="n">
        <v>27</v>
      </c>
      <c r="F87" s="4" t="n">
        <v>1</v>
      </c>
      <c r="G87" s="4" t="n">
        <v>6.3</v>
      </c>
      <c r="H87" s="4" t="n">
        <v>0.2</v>
      </c>
      <c r="I87" s="5">
        <f>IF(D87="","",E87*D87/100)</f>
        <v/>
      </c>
      <c r="J87" s="5">
        <f>IF(D87="","",F87*D87/100)</f>
        <v/>
      </c>
      <c r="K87" s="5">
        <f>IF(D87="","",G87*D87/100)</f>
        <v/>
      </c>
      <c r="L87" s="5">
        <f>IF(D87="","",H87*D87/100)</f>
        <v/>
      </c>
      <c r="M87" s="2" t="inlineStr">
        <is>
          <t>Macros exibidos por 100 g; coluna de porção calcula 200 g.</t>
        </is>
      </c>
      <c r="N87" s="2" t="inlineStr">
        <is>
          <t>TBCA/TACO; USDA FoodData Central (complementar)</t>
        </is>
      </c>
    </row>
    <row r="88">
      <c r="A88" s="2" t="inlineStr">
        <is>
          <t>Legumes low-carb</t>
        </is>
      </c>
      <c r="B88" s="2" t="inlineStr">
        <is>
          <t>Vagem</t>
        </is>
      </c>
      <c r="C88" s="2" t="inlineStr">
        <is>
          <t>Até 200 g</t>
        </is>
      </c>
      <c r="D88" s="3" t="n">
        <v>200</v>
      </c>
      <c r="E88" s="4" t="n">
        <v>31</v>
      </c>
      <c r="F88" s="4" t="n">
        <v>1.8</v>
      </c>
      <c r="G88" s="4" t="n">
        <v>7</v>
      </c>
      <c r="H88" s="4" t="n">
        <v>0.2</v>
      </c>
      <c r="I88" s="5">
        <f>IF(D88="","",E88*D88/100)</f>
        <v/>
      </c>
      <c r="J88" s="5">
        <f>IF(D88="","",F88*D88/100)</f>
        <v/>
      </c>
      <c r="K88" s="5">
        <f>IF(D88="","",G88*D88/100)</f>
        <v/>
      </c>
      <c r="L88" s="5">
        <f>IF(D88="","",H88*D88/100)</f>
        <v/>
      </c>
      <c r="M88" s="2" t="inlineStr">
        <is>
          <t>Macros exibidos por 100 g; coluna de porção calcula 200 g.</t>
        </is>
      </c>
      <c r="N88" s="2" t="inlineStr">
        <is>
          <t>TBCA/TACO; USDA FoodData Central (complementar)</t>
        </is>
      </c>
    </row>
    <row r="89">
      <c r="A89" s="2" t="inlineStr">
        <is>
          <t>Legumes low-carb</t>
        </is>
      </c>
      <c r="B89" s="2" t="inlineStr">
        <is>
          <t>Quiabo</t>
        </is>
      </c>
      <c r="C89" s="2" t="inlineStr">
        <is>
          <t>Até 200 g</t>
        </is>
      </c>
      <c r="D89" s="3" t="n">
        <v>200</v>
      </c>
      <c r="E89" s="4" t="n">
        <v>33</v>
      </c>
      <c r="F89" s="4" t="n">
        <v>1.9</v>
      </c>
      <c r="G89" s="4" t="n">
        <v>7.5</v>
      </c>
      <c r="H89" s="4" t="n">
        <v>0.2</v>
      </c>
      <c r="I89" s="5">
        <f>IF(D89="","",E89*D89/100)</f>
        <v/>
      </c>
      <c r="J89" s="5">
        <f>IF(D89="","",F89*D89/100)</f>
        <v/>
      </c>
      <c r="K89" s="5">
        <f>IF(D89="","",G89*D89/100)</f>
        <v/>
      </c>
      <c r="L89" s="5">
        <f>IF(D89="","",H89*D89/100)</f>
        <v/>
      </c>
      <c r="M89" s="2" t="inlineStr">
        <is>
          <t>Macros exibidos por 100 g; coluna de porção calcula 200 g.</t>
        </is>
      </c>
      <c r="N89" s="2" t="inlineStr">
        <is>
          <t>TBCA/TACO; USDA FoodData Central (complementar)</t>
        </is>
      </c>
    </row>
    <row r="90">
      <c r="A90" s="2" t="inlineStr">
        <is>
          <t>Legumes low-carb</t>
        </is>
      </c>
      <c r="B90" s="2" t="inlineStr">
        <is>
          <t>Jiló</t>
        </is>
      </c>
      <c r="C90" s="2" t="inlineStr">
        <is>
          <t>Até 200 g</t>
        </is>
      </c>
      <c r="D90" s="3" t="n">
        <v>200</v>
      </c>
      <c r="E90" s="4" t="n">
        <v>27</v>
      </c>
      <c r="F90" s="4" t="n">
        <v>1.4</v>
      </c>
      <c r="G90" s="4" t="n">
        <v>6.2</v>
      </c>
      <c r="H90" s="4" t="n">
        <v>0.2</v>
      </c>
      <c r="I90" s="5">
        <f>IF(D90="","",E90*D90/100)</f>
        <v/>
      </c>
      <c r="J90" s="5">
        <f>IF(D90="","",F90*D90/100)</f>
        <v/>
      </c>
      <c r="K90" s="5">
        <f>IF(D90="","",G90*D90/100)</f>
        <v/>
      </c>
      <c r="L90" s="5">
        <f>IF(D90="","",H90*D90/100)</f>
        <v/>
      </c>
      <c r="M90" s="2" t="inlineStr">
        <is>
          <t>Macros exibidos por 100 g; coluna de porção calcula 200 g.</t>
        </is>
      </c>
      <c r="N90" s="2" t="inlineStr">
        <is>
          <t>TBCA/TACO; USDA FoodData Central (complementar)</t>
        </is>
      </c>
    </row>
    <row r="91">
      <c r="A91" s="2" t="inlineStr">
        <is>
          <t>Legumes low-carb</t>
        </is>
      </c>
      <c r="B91" s="2" t="inlineStr">
        <is>
          <t>Aspargos</t>
        </is>
      </c>
      <c r="C91" s="2" t="inlineStr">
        <is>
          <t>Até 200 g</t>
        </is>
      </c>
      <c r="D91" s="3" t="n">
        <v>200</v>
      </c>
      <c r="E91" s="4" t="n">
        <v>20</v>
      </c>
      <c r="F91" s="4" t="n">
        <v>2.2</v>
      </c>
      <c r="G91" s="4" t="n">
        <v>3.9</v>
      </c>
      <c r="H91" s="4" t="n">
        <v>0.1</v>
      </c>
      <c r="I91" s="5">
        <f>IF(D91="","",E91*D91/100)</f>
        <v/>
      </c>
      <c r="J91" s="5">
        <f>IF(D91="","",F91*D91/100)</f>
        <v/>
      </c>
      <c r="K91" s="5">
        <f>IF(D91="","",G91*D91/100)</f>
        <v/>
      </c>
      <c r="L91" s="5">
        <f>IF(D91="","",H91*D91/100)</f>
        <v/>
      </c>
      <c r="M91" s="2" t="inlineStr">
        <is>
          <t>Macros exibidos por 100 g; coluna de porção calcula 200 g.</t>
        </is>
      </c>
      <c r="N91" s="2" t="inlineStr">
        <is>
          <t>TBCA/TACO; USDA FoodData Central (complementar)</t>
        </is>
      </c>
    </row>
    <row r="92">
      <c r="A92" s="2" t="inlineStr">
        <is>
          <t>Legumes low-carb</t>
        </is>
      </c>
      <c r="B92" s="2" t="inlineStr">
        <is>
          <t>Rabanete</t>
        </is>
      </c>
      <c r="C92" s="2" t="inlineStr">
        <is>
          <t>Até 200 g</t>
        </is>
      </c>
      <c r="D92" s="3" t="n">
        <v>200</v>
      </c>
      <c r="E92" s="4" t="n">
        <v>16</v>
      </c>
      <c r="F92" s="4" t="n">
        <v>0.7</v>
      </c>
      <c r="G92" s="4" t="n">
        <v>3.4</v>
      </c>
      <c r="H92" s="4" t="n">
        <v>0.1</v>
      </c>
      <c r="I92" s="5">
        <f>IF(D92="","",E92*D92/100)</f>
        <v/>
      </c>
      <c r="J92" s="5">
        <f>IF(D92="","",F92*D92/100)</f>
        <v/>
      </c>
      <c r="K92" s="5">
        <f>IF(D92="","",G92*D92/100)</f>
        <v/>
      </c>
      <c r="L92" s="5">
        <f>IF(D92="","",H92*D92/100)</f>
        <v/>
      </c>
      <c r="M92" s="2" t="inlineStr">
        <is>
          <t>Macros exibidos por 100 g; coluna de porção calcula 200 g.</t>
        </is>
      </c>
      <c r="N92" s="2" t="inlineStr">
        <is>
          <t>TBCA/TACO; USDA FoodData Central (complementar)</t>
        </is>
      </c>
    </row>
    <row r="93">
      <c r="A93" s="2" t="inlineStr">
        <is>
          <t>Legumes low-carb</t>
        </is>
      </c>
      <c r="B93" s="2" t="inlineStr">
        <is>
          <t>Nabo</t>
        </is>
      </c>
      <c r="C93" s="2" t="inlineStr">
        <is>
          <t>Até 200 g</t>
        </is>
      </c>
      <c r="D93" s="3" t="n">
        <v>200</v>
      </c>
      <c r="E93" s="4" t="n">
        <v>28</v>
      </c>
      <c r="F93" s="4" t="n">
        <v>0.9</v>
      </c>
      <c r="G93" s="4" t="n">
        <v>6.4</v>
      </c>
      <c r="H93" s="4" t="n">
        <v>0.1</v>
      </c>
      <c r="I93" s="5">
        <f>IF(D93="","",E93*D93/100)</f>
        <v/>
      </c>
      <c r="J93" s="5">
        <f>IF(D93="","",F93*D93/100)</f>
        <v/>
      </c>
      <c r="K93" s="5">
        <f>IF(D93="","",G93*D93/100)</f>
        <v/>
      </c>
      <c r="L93" s="5">
        <f>IF(D93="","",H93*D93/100)</f>
        <v/>
      </c>
      <c r="M93" s="2" t="inlineStr">
        <is>
          <t>Macros exibidos por 100 g; coluna de porção calcula 200 g.</t>
        </is>
      </c>
      <c r="N93" s="2" t="inlineStr">
        <is>
          <t>TBCA/TACO; USDA FoodData Central (complementar)</t>
        </is>
      </c>
    </row>
    <row r="94">
      <c r="A94" s="2" t="inlineStr">
        <is>
          <t>Legumes low-carb</t>
        </is>
      </c>
      <c r="B94" s="2" t="inlineStr">
        <is>
          <t>Repolho verde</t>
        </is>
      </c>
      <c r="C94" s="2" t="inlineStr">
        <is>
          <t>Até 200 g</t>
        </is>
      </c>
      <c r="D94" s="3" t="n">
        <v>200</v>
      </c>
      <c r="E94" s="4" t="n">
        <v>25</v>
      </c>
      <c r="F94" s="4" t="n">
        <v>1.3</v>
      </c>
      <c r="G94" s="4" t="n">
        <v>5.8</v>
      </c>
      <c r="H94" s="4" t="n">
        <v>0.1</v>
      </c>
      <c r="I94" s="5">
        <f>IF(D94="","",E94*D94/100)</f>
        <v/>
      </c>
      <c r="J94" s="5">
        <f>IF(D94="","",F94*D94/100)</f>
        <v/>
      </c>
      <c r="K94" s="5">
        <f>IF(D94="","",G94*D94/100)</f>
        <v/>
      </c>
      <c r="L94" s="5">
        <f>IF(D94="","",H94*D94/100)</f>
        <v/>
      </c>
      <c r="M94" s="2" t="inlineStr">
        <is>
          <t>Macros exibidos por 100 g; coluna de porção calcula 200 g.</t>
        </is>
      </c>
      <c r="N94" s="2" t="inlineStr">
        <is>
          <t>TBCA/TACO; USDA FoodData Central (complementar)</t>
        </is>
      </c>
    </row>
    <row r="95">
      <c r="A95" s="2" t="inlineStr">
        <is>
          <t>Legumes low-carb</t>
        </is>
      </c>
      <c r="B95" s="2" t="inlineStr">
        <is>
          <t>Repolho roxo</t>
        </is>
      </c>
      <c r="C95" s="2" t="inlineStr">
        <is>
          <t>Até 200 g</t>
        </is>
      </c>
      <c r="D95" s="3" t="n">
        <v>200</v>
      </c>
      <c r="E95" s="4" t="n">
        <v>31</v>
      </c>
      <c r="F95" s="4" t="n">
        <v>1.4</v>
      </c>
      <c r="G95" s="4" t="n">
        <v>7.4</v>
      </c>
      <c r="H95" s="4" t="n">
        <v>0.2</v>
      </c>
      <c r="I95" s="5">
        <f>IF(D95="","",E95*D95/100)</f>
        <v/>
      </c>
      <c r="J95" s="5">
        <f>IF(D95="","",F95*D95/100)</f>
        <v/>
      </c>
      <c r="K95" s="5">
        <f>IF(D95="","",G95*D95/100)</f>
        <v/>
      </c>
      <c r="L95" s="5">
        <f>IF(D95="","",H95*D95/100)</f>
        <v/>
      </c>
      <c r="M95" s="2" t="inlineStr">
        <is>
          <t>Macros exibidos por 100 g; coluna de porção calcula 200 g.</t>
        </is>
      </c>
      <c r="N95" s="2" t="inlineStr">
        <is>
          <t>TBCA/TACO; USDA FoodData Central (complementar)</t>
        </is>
      </c>
    </row>
    <row r="96">
      <c r="A96" s="2" t="inlineStr">
        <is>
          <t>Legumes low-carb</t>
        </is>
      </c>
      <c r="B96" s="2" t="inlineStr">
        <is>
          <t>Palmito</t>
        </is>
      </c>
      <c r="C96" s="2" t="inlineStr">
        <is>
          <t>Até 200 g</t>
        </is>
      </c>
      <c r="D96" s="3" t="n">
        <v>200</v>
      </c>
      <c r="E96" s="4" t="n">
        <v>36</v>
      </c>
      <c r="F96" s="4" t="n">
        <v>2.5</v>
      </c>
      <c r="G96" s="4" t="n">
        <v>4.6</v>
      </c>
      <c r="H96" s="4" t="n">
        <v>0.6</v>
      </c>
      <c r="I96" s="5">
        <f>IF(D96="","",E96*D96/100)</f>
        <v/>
      </c>
      <c r="J96" s="5">
        <f>IF(D96="","",F96*D96/100)</f>
        <v/>
      </c>
      <c r="K96" s="5">
        <f>IF(D96="","",G96*D96/100)</f>
        <v/>
      </c>
      <c r="L96" s="5">
        <f>IF(D96="","",H96*D96/100)</f>
        <v/>
      </c>
      <c r="M96" s="2" t="inlineStr">
        <is>
          <t>Macros exibidos por 100 g; coluna de porção calcula 200 g.</t>
        </is>
      </c>
      <c r="N96" s="2" t="inlineStr">
        <is>
          <t>TBCA/TACO; USDA FoodData Central (complementar)</t>
        </is>
      </c>
    </row>
    <row r="97">
      <c r="A97" s="2" t="inlineStr">
        <is>
          <t>Legumes low-carb</t>
        </is>
      </c>
      <c r="B97" s="2" t="inlineStr">
        <is>
          <t>Broto de bambu</t>
        </is>
      </c>
      <c r="C97" s="2" t="inlineStr">
        <is>
          <t>Até 200 g</t>
        </is>
      </c>
      <c r="D97" s="3" t="n">
        <v>200</v>
      </c>
      <c r="E97" s="4" t="n">
        <v>27</v>
      </c>
      <c r="F97" s="4" t="n">
        <v>2.6</v>
      </c>
      <c r="G97" s="4" t="n">
        <v>5.2</v>
      </c>
      <c r="H97" s="4" t="n">
        <v>0.3</v>
      </c>
      <c r="I97" s="5">
        <f>IF(D97="","",E97*D97/100)</f>
        <v/>
      </c>
      <c r="J97" s="5">
        <f>IF(D97="","",F97*D97/100)</f>
        <v/>
      </c>
      <c r="K97" s="5">
        <f>IF(D97="","",G97*D97/100)</f>
        <v/>
      </c>
      <c r="L97" s="5">
        <f>IF(D97="","",H97*D97/100)</f>
        <v/>
      </c>
      <c r="M97" s="2" t="inlineStr">
        <is>
          <t>Macros exibidos por 100 g; coluna de porção calcula 200 g.</t>
        </is>
      </c>
      <c r="N97" s="2" t="inlineStr">
        <is>
          <t>TBCA/TACO; USDA FoodData Central (complementar)</t>
        </is>
      </c>
    </row>
    <row r="98">
      <c r="A98" s="2" t="inlineStr">
        <is>
          <t>Legumes low-carb</t>
        </is>
      </c>
      <c r="B98" s="2" t="inlineStr">
        <is>
          <t>Cogumelos</t>
        </is>
      </c>
      <c r="C98" s="2" t="inlineStr">
        <is>
          <t>Até 200 g</t>
        </is>
      </c>
      <c r="D98" s="3" t="n">
        <v>200</v>
      </c>
      <c r="E98" s="4" t="n">
        <v>22</v>
      </c>
      <c r="F98" s="4" t="n">
        <v>3.1</v>
      </c>
      <c r="G98" s="4" t="n">
        <v>3.3</v>
      </c>
      <c r="H98" s="4" t="n">
        <v>0.3</v>
      </c>
      <c r="I98" s="5">
        <f>IF(D98="","",E98*D98/100)</f>
        <v/>
      </c>
      <c r="J98" s="5">
        <f>IF(D98="","",F98*D98/100)</f>
        <v/>
      </c>
      <c r="K98" s="5">
        <f>IF(D98="","",G98*D98/100)</f>
        <v/>
      </c>
      <c r="L98" s="5">
        <f>IF(D98="","",H98*D98/100)</f>
        <v/>
      </c>
      <c r="M98" s="2" t="inlineStr">
        <is>
          <t>Macros exibidos por 100 g; coluna de porção calcula 200 g.</t>
        </is>
      </c>
      <c r="N98" s="2" t="inlineStr">
        <is>
          <t>TBCA/TACO; USDA FoodData Central (complementar)</t>
        </is>
      </c>
    </row>
    <row r="99">
      <c r="A99" s="2" t="inlineStr">
        <is>
          <t>Legumes low-carb</t>
        </is>
      </c>
      <c r="B99" s="2" t="inlineStr">
        <is>
          <t>Alcachofra</t>
        </is>
      </c>
      <c r="C99" s="2" t="inlineStr">
        <is>
          <t>Até 200 g</t>
        </is>
      </c>
      <c r="D99" s="3" t="n">
        <v>200</v>
      </c>
      <c r="E99" s="4" t="n">
        <v>47</v>
      </c>
      <c r="F99" s="4" t="n">
        <v>3.3</v>
      </c>
      <c r="G99" s="4" t="n">
        <v>10.5</v>
      </c>
      <c r="H99" s="4" t="n">
        <v>0.2</v>
      </c>
      <c r="I99" s="5">
        <f>IF(D99="","",E99*D99/100)</f>
        <v/>
      </c>
      <c r="J99" s="5">
        <f>IF(D99="","",F99*D99/100)</f>
        <v/>
      </c>
      <c r="K99" s="5">
        <f>IF(D99="","",G99*D99/100)</f>
        <v/>
      </c>
      <c r="L99" s="5">
        <f>IF(D99="","",H99*D99/100)</f>
        <v/>
      </c>
      <c r="M99" s="2" t="inlineStr">
        <is>
          <t>Macros exibidos por 100 g; coluna de porção calcula 200 g.</t>
        </is>
      </c>
      <c r="N99" s="2" t="inlineStr">
        <is>
          <t>TBCA/TACO; USDA FoodData Central (complementar)</t>
        </is>
      </c>
    </row>
    <row r="100">
      <c r="A100" s="2" t="inlineStr">
        <is>
          <t>Temperos e extras</t>
        </is>
      </c>
      <c r="B100" s="2" t="inlineStr">
        <is>
          <t>Alho</t>
        </is>
      </c>
      <c r="C100" s="2" t="inlineStr">
        <is>
          <t>Livre / pequena quantidade</t>
        </is>
      </c>
      <c r="D100" s="6" t="n"/>
      <c r="E100" s="4" t="n">
        <v>149</v>
      </c>
      <c r="F100" s="4" t="n">
        <v>6.4</v>
      </c>
      <c r="G100" s="4" t="n">
        <v>33.1</v>
      </c>
      <c r="H100" s="4" t="n">
        <v>0.5</v>
      </c>
      <c r="I100" s="5">
        <f>IF(D100="","",E100*D100/100)</f>
        <v/>
      </c>
      <c r="J100" s="5">
        <f>IF(D100="","",F100*D100/100)</f>
        <v/>
      </c>
      <c r="K100" s="5">
        <f>IF(D100="","",G100*D100/100)</f>
        <v/>
      </c>
      <c r="L100" s="5">
        <f>IF(D100="","",H100*D100/100)</f>
        <v/>
      </c>
      <c r="M100" s="2" t="inlineStr"/>
      <c r="N100" s="2" t="inlineStr">
        <is>
          <t>TBCA/TACO; USDA FoodData Central (complementar)</t>
        </is>
      </c>
    </row>
    <row r="101">
      <c r="A101" s="2" t="inlineStr">
        <is>
          <t>Temperos e extras</t>
        </is>
      </c>
      <c r="B101" s="2" t="inlineStr">
        <is>
          <t>Cebola</t>
        </is>
      </c>
      <c r="C101" s="2" t="inlineStr">
        <is>
          <t>Livre / pequena quantidade</t>
        </is>
      </c>
      <c r="D101" s="6" t="n"/>
      <c r="E101" s="4" t="n">
        <v>40</v>
      </c>
      <c r="F101" s="4" t="n">
        <v>1.1</v>
      </c>
      <c r="G101" s="4" t="n">
        <v>9.300000000000001</v>
      </c>
      <c r="H101" s="4" t="n">
        <v>0.1</v>
      </c>
      <c r="I101" s="5">
        <f>IF(D101="","",E101*D101/100)</f>
        <v/>
      </c>
      <c r="J101" s="5">
        <f>IF(D101="","",F101*D101/100)</f>
        <v/>
      </c>
      <c r="K101" s="5">
        <f>IF(D101="","",G101*D101/100)</f>
        <v/>
      </c>
      <c r="L101" s="5">
        <f>IF(D101="","",H101*D101/100)</f>
        <v/>
      </c>
      <c r="M101" s="2" t="inlineStr"/>
      <c r="N101" s="2" t="inlineStr">
        <is>
          <t>TBCA/TACO; USDA FoodData Central (complementar)</t>
        </is>
      </c>
    </row>
    <row r="102">
      <c r="A102" s="2" t="inlineStr">
        <is>
          <t>Temperos e extras</t>
        </is>
      </c>
      <c r="B102" s="2" t="inlineStr">
        <is>
          <t>Gengibre</t>
        </is>
      </c>
      <c r="C102" s="2" t="inlineStr">
        <is>
          <t>Livre / pequena quantidade</t>
        </is>
      </c>
      <c r="D102" s="6" t="n"/>
      <c r="E102" s="4" t="n">
        <v>80</v>
      </c>
      <c r="F102" s="4" t="n">
        <v>1.8</v>
      </c>
      <c r="G102" s="4" t="n">
        <v>17.8</v>
      </c>
      <c r="H102" s="4" t="n">
        <v>0.8</v>
      </c>
      <c r="I102" s="5">
        <f>IF(D102="","",E102*D102/100)</f>
        <v/>
      </c>
      <c r="J102" s="5">
        <f>IF(D102="","",F102*D102/100)</f>
        <v/>
      </c>
      <c r="K102" s="5">
        <f>IF(D102="","",G102*D102/100)</f>
        <v/>
      </c>
      <c r="L102" s="5">
        <f>IF(D102="","",H102*D102/100)</f>
        <v/>
      </c>
      <c r="M102" s="2" t="inlineStr"/>
      <c r="N102" s="2" t="inlineStr">
        <is>
          <t>TBCA/TACO; USDA FoodData Central (complementar)</t>
        </is>
      </c>
    </row>
    <row r="103">
      <c r="A103" s="2" t="inlineStr">
        <is>
          <t>Temperos e extras</t>
        </is>
      </c>
      <c r="B103" s="2" t="inlineStr">
        <is>
          <t>Cúrcuma (açafrão-da-terra)</t>
        </is>
      </c>
      <c r="C103" s="2" t="inlineStr">
        <is>
          <t>1 c. chá (~3 g)</t>
        </is>
      </c>
      <c r="D103" s="3" t="n">
        <v>3</v>
      </c>
      <c r="E103" s="4" t="n">
        <v>312</v>
      </c>
      <c r="F103" s="4" t="n">
        <v>9.699999999999999</v>
      </c>
      <c r="G103" s="4" t="n">
        <v>67.09999999999999</v>
      </c>
      <c r="H103" s="4" t="n">
        <v>3.3</v>
      </c>
      <c r="I103" s="5">
        <f>IF(D103="","",E103*D103/100)</f>
        <v/>
      </c>
      <c r="J103" s="5">
        <f>IF(D103="","",F103*D103/100)</f>
        <v/>
      </c>
      <c r="K103" s="5">
        <f>IF(D103="","",G103*D103/100)</f>
        <v/>
      </c>
      <c r="L103" s="5">
        <f>IF(D103="","",H103*D103/100)</f>
        <v/>
      </c>
      <c r="M103" s="2" t="inlineStr">
        <is>
          <t>Valor de cúrcuma em pó.</t>
        </is>
      </c>
      <c r="N103" s="2" t="inlineStr">
        <is>
          <t>TBCA/TACO; USDA FoodData Central (complementar)</t>
        </is>
      </c>
    </row>
    <row r="104">
      <c r="A104" s="2" t="inlineStr">
        <is>
          <t>Temperos e extras</t>
        </is>
      </c>
      <c r="B104" s="2" t="inlineStr">
        <is>
          <t>Salsa</t>
        </is>
      </c>
      <c r="C104" s="2" t="inlineStr">
        <is>
          <t>Livre</t>
        </is>
      </c>
      <c r="D104" s="6" t="n"/>
      <c r="E104" s="4" t="n">
        <v>36</v>
      </c>
      <c r="F104" s="4" t="n">
        <v>3</v>
      </c>
      <c r="G104" s="4" t="n">
        <v>6.3</v>
      </c>
      <c r="H104" s="4" t="n">
        <v>0.8</v>
      </c>
      <c r="I104" s="5">
        <f>IF(D104="","",E104*D104/100)</f>
        <v/>
      </c>
      <c r="J104" s="5">
        <f>IF(D104="","",F104*D104/100)</f>
        <v/>
      </c>
      <c r="K104" s="5">
        <f>IF(D104="","",G104*D104/100)</f>
        <v/>
      </c>
      <c r="L104" s="5">
        <f>IF(D104="","",H104*D104/100)</f>
        <v/>
      </c>
      <c r="M104" s="2" t="inlineStr"/>
      <c r="N104" s="2" t="inlineStr">
        <is>
          <t>TBCA/TACO; USDA FoodData Central (complementar)</t>
        </is>
      </c>
    </row>
    <row r="105">
      <c r="A105" s="2" t="inlineStr">
        <is>
          <t>Temperos e extras</t>
        </is>
      </c>
      <c r="B105" s="2" t="inlineStr">
        <is>
          <t>Cebolinha</t>
        </is>
      </c>
      <c r="C105" s="2" t="inlineStr">
        <is>
          <t>Livre</t>
        </is>
      </c>
      <c r="D105" s="6" t="n"/>
      <c r="E105" s="4" t="n">
        <v>30</v>
      </c>
      <c r="F105" s="4" t="n">
        <v>3.3</v>
      </c>
      <c r="G105" s="4" t="n">
        <v>4.4</v>
      </c>
      <c r="H105" s="4" t="n">
        <v>0.7</v>
      </c>
      <c r="I105" s="5">
        <f>IF(D105="","",E105*D105/100)</f>
        <v/>
      </c>
      <c r="J105" s="5">
        <f>IF(D105="","",F105*D105/100)</f>
        <v/>
      </c>
      <c r="K105" s="5">
        <f>IF(D105="","",G105*D105/100)</f>
        <v/>
      </c>
      <c r="L105" s="5">
        <f>IF(D105="","",H105*D105/100)</f>
        <v/>
      </c>
      <c r="M105" s="2" t="inlineStr"/>
      <c r="N105" s="2" t="inlineStr">
        <is>
          <t>TBCA/TACO; USDA FoodData Central (complementar)</t>
        </is>
      </c>
    </row>
    <row r="106">
      <c r="A106" s="2" t="inlineStr">
        <is>
          <t>Temperos e extras</t>
        </is>
      </c>
      <c r="B106" s="2" t="inlineStr">
        <is>
          <t>Coentro</t>
        </is>
      </c>
      <c r="C106" s="2" t="inlineStr">
        <is>
          <t>Livre</t>
        </is>
      </c>
      <c r="D106" s="6" t="n"/>
      <c r="E106" s="4" t="n">
        <v>23</v>
      </c>
      <c r="F106" s="4" t="n">
        <v>2.1</v>
      </c>
      <c r="G106" s="4" t="n">
        <v>3.7</v>
      </c>
      <c r="H106" s="4" t="n">
        <v>0.5</v>
      </c>
      <c r="I106" s="5">
        <f>IF(D106="","",E106*D106/100)</f>
        <v/>
      </c>
      <c r="J106" s="5">
        <f>IF(D106="","",F106*D106/100)</f>
        <v/>
      </c>
      <c r="K106" s="5">
        <f>IF(D106="","",G106*D106/100)</f>
        <v/>
      </c>
      <c r="L106" s="5">
        <f>IF(D106="","",H106*D106/100)</f>
        <v/>
      </c>
      <c r="M106" s="2" t="inlineStr"/>
      <c r="N106" s="2" t="inlineStr">
        <is>
          <t>TBCA/TACO; USDA FoodData Central (complementar)</t>
        </is>
      </c>
    </row>
    <row r="107">
      <c r="A107" s="2" t="inlineStr">
        <is>
          <t>Temperos e extras</t>
        </is>
      </c>
      <c r="B107" s="2" t="inlineStr">
        <is>
          <t>Manjericão</t>
        </is>
      </c>
      <c r="C107" s="2" t="inlineStr">
        <is>
          <t>Livre</t>
        </is>
      </c>
      <c r="D107" s="6" t="n"/>
      <c r="E107" s="4" t="n">
        <v>23</v>
      </c>
      <c r="F107" s="4" t="n">
        <v>3.2</v>
      </c>
      <c r="G107" s="4" t="n">
        <v>2.7</v>
      </c>
      <c r="H107" s="4" t="n">
        <v>0.6</v>
      </c>
      <c r="I107" s="5">
        <f>IF(D107="","",E107*D107/100)</f>
        <v/>
      </c>
      <c r="J107" s="5">
        <f>IF(D107="","",F107*D107/100)</f>
        <v/>
      </c>
      <c r="K107" s="5">
        <f>IF(D107="","",G107*D107/100)</f>
        <v/>
      </c>
      <c r="L107" s="5">
        <f>IF(D107="","",H107*D107/100)</f>
        <v/>
      </c>
      <c r="M107" s="2" t="inlineStr"/>
      <c r="N107" s="2" t="inlineStr">
        <is>
          <t>TBCA/TACO; USDA FoodData Central (complementar)</t>
        </is>
      </c>
    </row>
    <row r="108">
      <c r="A108" s="2" t="inlineStr">
        <is>
          <t>Temperos e extras</t>
        </is>
      </c>
      <c r="B108" s="2" t="inlineStr">
        <is>
          <t>Orégano seco</t>
        </is>
      </c>
      <c r="C108" s="2" t="inlineStr">
        <is>
          <t>Livre / pequena quantidade</t>
        </is>
      </c>
      <c r="D108" s="6" t="n"/>
      <c r="E108" s="4" t="n">
        <v>265</v>
      </c>
      <c r="F108" s="4" t="n">
        <v>9</v>
      </c>
      <c r="G108" s="4" t="n">
        <v>68.90000000000001</v>
      </c>
      <c r="H108" s="4" t="n">
        <v>4.3</v>
      </c>
      <c r="I108" s="5">
        <f>IF(D108="","",E108*D108/100)</f>
        <v/>
      </c>
      <c r="J108" s="5">
        <f>IF(D108="","",F108*D108/100)</f>
        <v/>
      </c>
      <c r="K108" s="5">
        <f>IF(D108="","",G108*D108/100)</f>
        <v/>
      </c>
      <c r="L108" s="5">
        <f>IF(D108="","",H108*D108/100)</f>
        <v/>
      </c>
      <c r="M108" s="2" t="inlineStr"/>
      <c r="N108" s="2" t="inlineStr">
        <is>
          <t>TBCA/TACO; USDA FoodData Central (complementar)</t>
        </is>
      </c>
    </row>
    <row r="109">
      <c r="A109" s="2" t="inlineStr">
        <is>
          <t>Temperos e extras</t>
        </is>
      </c>
      <c r="B109" s="2" t="inlineStr">
        <is>
          <t>Alecrim fresco</t>
        </is>
      </c>
      <c r="C109" s="2" t="inlineStr">
        <is>
          <t>Livre / pequena quantidade</t>
        </is>
      </c>
      <c r="D109" s="6" t="n"/>
      <c r="E109" s="4" t="n">
        <v>131</v>
      </c>
      <c r="F109" s="4" t="n">
        <v>3.3</v>
      </c>
      <c r="G109" s="4" t="n">
        <v>20.7</v>
      </c>
      <c r="H109" s="4" t="n">
        <v>5.9</v>
      </c>
      <c r="I109" s="5">
        <f>IF(D109="","",E109*D109/100)</f>
        <v/>
      </c>
      <c r="J109" s="5">
        <f>IF(D109="","",F109*D109/100)</f>
        <v/>
      </c>
      <c r="K109" s="5">
        <f>IF(D109="","",G109*D109/100)</f>
        <v/>
      </c>
      <c r="L109" s="5">
        <f>IF(D109="","",H109*D109/100)</f>
        <v/>
      </c>
      <c r="M109" s="2" t="inlineStr"/>
      <c r="N109" s="2" t="inlineStr">
        <is>
          <t>TBCA/TACO; USDA FoodData Central (complementar)</t>
        </is>
      </c>
    </row>
    <row r="110">
      <c r="A110" s="2" t="inlineStr">
        <is>
          <t>Temperos e extras</t>
        </is>
      </c>
      <c r="B110" s="2" t="inlineStr">
        <is>
          <t>Pimenta-preta</t>
        </is>
      </c>
      <c r="C110" s="2" t="inlineStr">
        <is>
          <t>Pitada</t>
        </is>
      </c>
      <c r="D110" s="6" t="n"/>
      <c r="E110" s="4" t="n">
        <v>251</v>
      </c>
      <c r="F110" s="4" t="n">
        <v>10.4</v>
      </c>
      <c r="G110" s="4" t="n">
        <v>64</v>
      </c>
      <c r="H110" s="4" t="n">
        <v>3.3</v>
      </c>
      <c r="I110" s="5">
        <f>IF(D110="","",E110*D110/100)</f>
        <v/>
      </c>
      <c r="J110" s="5">
        <f>IF(D110="","",F110*D110/100)</f>
        <v/>
      </c>
      <c r="K110" s="5">
        <f>IF(D110="","",G110*D110/100)</f>
        <v/>
      </c>
      <c r="L110" s="5">
        <f>IF(D110="","",H110*D110/100)</f>
        <v/>
      </c>
      <c r="M110" s="2" t="inlineStr"/>
      <c r="N110" s="2" t="inlineStr">
        <is>
          <t>TBCA/TACO; USDA FoodData Central (complementar)</t>
        </is>
      </c>
    </row>
    <row r="111">
      <c r="A111" s="2" t="inlineStr">
        <is>
          <t>Temperos e extras</t>
        </is>
      </c>
      <c r="B111" s="2" t="inlineStr">
        <is>
          <t>Pimenta caiena</t>
        </is>
      </c>
      <c r="C111" s="2" t="inlineStr">
        <is>
          <t>Pitada</t>
        </is>
      </c>
      <c r="D111" s="6" t="n"/>
      <c r="E111" s="4" t="n">
        <v>318</v>
      </c>
      <c r="F111" s="4" t="n">
        <v>12</v>
      </c>
      <c r="G111" s="4" t="n">
        <v>56.6</v>
      </c>
      <c r="H111" s="4" t="n">
        <v>17.3</v>
      </c>
      <c r="I111" s="5">
        <f>IF(D111="","",E111*D111/100)</f>
        <v/>
      </c>
      <c r="J111" s="5">
        <f>IF(D111="","",F111*D111/100)</f>
        <v/>
      </c>
      <c r="K111" s="5">
        <f>IF(D111="","",G111*D111/100)</f>
        <v/>
      </c>
      <c r="L111" s="5">
        <f>IF(D111="","",H111*D111/100)</f>
        <v/>
      </c>
      <c r="M111" s="2" t="inlineStr"/>
      <c r="N111" s="2" t="inlineStr">
        <is>
          <t>TBCA/TACO; USDA FoodData Central (complementar)</t>
        </is>
      </c>
    </row>
    <row r="112">
      <c r="A112" s="2" t="inlineStr">
        <is>
          <t>Temperos e extras</t>
        </is>
      </c>
      <c r="B112" s="2" t="inlineStr">
        <is>
          <t>Canela em pó</t>
        </is>
      </c>
      <c r="C112" s="2" t="inlineStr">
        <is>
          <t>Livre / pequena quantidade</t>
        </is>
      </c>
      <c r="D112" s="6" t="n"/>
      <c r="E112" s="4" t="n">
        <v>247</v>
      </c>
      <c r="F112" s="4" t="n">
        <v>4</v>
      </c>
      <c r="G112" s="4" t="n">
        <v>80.59999999999999</v>
      </c>
      <c r="H112" s="4" t="n">
        <v>1.2</v>
      </c>
      <c r="I112" s="5">
        <f>IF(D112="","",E112*D112/100)</f>
        <v/>
      </c>
      <c r="J112" s="5">
        <f>IF(D112="","",F112*D112/100)</f>
        <v/>
      </c>
      <c r="K112" s="5">
        <f>IF(D112="","",G112*D112/100)</f>
        <v/>
      </c>
      <c r="L112" s="5">
        <f>IF(D112="","",H112*D112/100)</f>
        <v/>
      </c>
      <c r="M112" s="2" t="inlineStr"/>
      <c r="N112" s="2" t="inlineStr">
        <is>
          <t>TBCA/TACO; USDA FoodData Central (complementar)</t>
        </is>
      </c>
    </row>
    <row r="113">
      <c r="A113" s="2" t="inlineStr">
        <is>
          <t>Temperos e extras</t>
        </is>
      </c>
      <c r="B113" s="2" t="inlineStr">
        <is>
          <t>Vinagre de maçã</t>
        </is>
      </c>
      <c r="C113" s="2" t="inlineStr">
        <is>
          <t>1 c. sobremesa (~10 g)</t>
        </is>
      </c>
      <c r="D113" s="3" t="n">
        <v>10</v>
      </c>
      <c r="E113" s="4" t="n">
        <v>21</v>
      </c>
      <c r="F113" s="4" t="n">
        <v>0</v>
      </c>
      <c r="G113" s="4" t="n">
        <v>0.9</v>
      </c>
      <c r="H113" s="4" t="n">
        <v>0</v>
      </c>
      <c r="I113" s="5">
        <f>IF(D113="","",E113*D113/100)</f>
        <v/>
      </c>
      <c r="J113" s="5">
        <f>IF(D113="","",F113*D113/100)</f>
        <v/>
      </c>
      <c r="K113" s="5">
        <f>IF(D113="","",G113*D113/100)</f>
        <v/>
      </c>
      <c r="L113" s="5">
        <f>IF(D113="","",H113*D113/100)</f>
        <v/>
      </c>
      <c r="M113" s="2" t="inlineStr"/>
      <c r="N113" s="2" t="inlineStr">
        <is>
          <t>TBCA/TACO; USDA FoodData Central (complementar)</t>
        </is>
      </c>
    </row>
    <row r="114">
      <c r="A114" s="2" t="inlineStr">
        <is>
          <t>Temperos e extras</t>
        </is>
      </c>
      <c r="B114" s="2" t="inlineStr">
        <is>
          <t>Sal integral</t>
        </is>
      </c>
      <c r="C114" s="2" t="inlineStr">
        <is>
          <t>Pitada / livre conforme orientação</t>
        </is>
      </c>
      <c r="D114" s="6" t="n"/>
      <c r="E114" s="4" t="n">
        <v>0</v>
      </c>
      <c r="F114" s="4" t="n">
        <v>0</v>
      </c>
      <c r="G114" s="4" t="n">
        <v>0</v>
      </c>
      <c r="H114" s="4" t="n">
        <v>0</v>
      </c>
      <c r="I114" s="5">
        <f>IF(D114="","",E114*D114/100)</f>
        <v/>
      </c>
      <c r="J114" s="5">
        <f>IF(D114="","",F114*D114/100)</f>
        <v/>
      </c>
      <c r="K114" s="5">
        <f>IF(D114="","",G114*D114/100)</f>
        <v/>
      </c>
      <c r="L114" s="5">
        <f>IF(D114="","",H114*D114/100)</f>
        <v/>
      </c>
      <c r="M114" s="2" t="inlineStr">
        <is>
          <t>Sem macronutrientes; contém sódio.</t>
        </is>
      </c>
      <c r="N114" s="2" t="inlineStr">
        <is>
          <t>TBCA/TACO; USDA FoodData Central (complementar)</t>
        </is>
      </c>
    </row>
    <row r="115">
      <c r="A115" s="2" t="inlineStr">
        <is>
          <t>Temperos e extras</t>
        </is>
      </c>
      <c r="B115" s="2" t="inlineStr">
        <is>
          <t>Stévia</t>
        </is>
      </c>
      <c r="C115" s="2" t="inlineStr">
        <is>
          <t>A gosto</t>
        </is>
      </c>
      <c r="D115" s="6" t="n"/>
      <c r="E115" s="4" t="n">
        <v>0</v>
      </c>
      <c r="F115" s="4" t="n">
        <v>0</v>
      </c>
      <c r="G115" s="4" t="n">
        <v>0</v>
      </c>
      <c r="H115" s="4" t="n">
        <v>0</v>
      </c>
      <c r="I115" s="5">
        <f>IF(D115="","",E115*D115/100)</f>
        <v/>
      </c>
      <c r="J115" s="5">
        <f>IF(D115="","",F115*D115/100)</f>
        <v/>
      </c>
      <c r="K115" s="5">
        <f>IF(D115="","",G115*D115/100)</f>
        <v/>
      </c>
      <c r="L115" s="5">
        <f>IF(D115="","",H115*D115/100)</f>
        <v/>
      </c>
      <c r="M115" s="2" t="inlineStr">
        <is>
          <t>Considerada adoçante sem calorias na quantidade usual.</t>
        </is>
      </c>
      <c r="N115" s="2" t="inlineStr">
        <is>
          <t>TBCA/TACO; USDA FoodData Central (complementar)</t>
        </is>
      </c>
    </row>
    <row r="116">
      <c r="A116" s="2" t="inlineStr">
        <is>
          <t>Temperos e extras</t>
        </is>
      </c>
      <c r="B116" s="2" t="inlineStr">
        <is>
          <t>Própolis verde</t>
        </is>
      </c>
      <c r="C116" s="2" t="inlineStr">
        <is>
          <t>20 gotas (~1 g)</t>
        </is>
      </c>
      <c r="D116" s="3" t="n">
        <v>1</v>
      </c>
      <c r="E116" s="4" t="n">
        <v>250</v>
      </c>
      <c r="F116" s="4" t="n">
        <v>0.5</v>
      </c>
      <c r="G116" s="4" t="n">
        <v>60</v>
      </c>
      <c r="H116" s="4" t="n">
        <v>0.5</v>
      </c>
      <c r="I116" s="5">
        <f>IF(D116="","",E116*D116/100)</f>
        <v/>
      </c>
      <c r="J116" s="5">
        <f>IF(D116="","",F116*D116/100)</f>
        <v/>
      </c>
      <c r="K116" s="5">
        <f>IF(D116="","",G116*D116/100)</f>
        <v/>
      </c>
      <c r="L116" s="5">
        <f>IF(D116="","",H116*D116/100)</f>
        <v/>
      </c>
      <c r="M116" s="2" t="inlineStr">
        <is>
          <t>Estimativa genérica: composição varia muito por extrato/marca; conferir rótulo.</t>
        </is>
      </c>
      <c r="N116" s="2" t="inlineStr">
        <is>
          <t>TBCA/TACO; USDA FoodData Central (complementar)</t>
        </is>
      </c>
    </row>
    <row r="117">
      <c r="A117" s="2" t="inlineStr">
        <is>
          <t>Bebidas do protocolo</t>
        </is>
      </c>
      <c r="B117" s="2" t="inlineStr">
        <is>
          <t>Chá verde sem açúcar</t>
        </is>
      </c>
      <c r="C117" s="2" t="inlineStr">
        <is>
          <t>1 xícara (~240 ml)</t>
        </is>
      </c>
      <c r="D117" s="3" t="n">
        <v>240</v>
      </c>
      <c r="E117" s="4" t="n">
        <v>1</v>
      </c>
      <c r="F117" s="4" t="n">
        <v>0.2</v>
      </c>
      <c r="G117" s="4" t="n">
        <v>0</v>
      </c>
      <c r="H117" s="4" t="n">
        <v>0</v>
      </c>
      <c r="I117" s="5">
        <f>IF(D117="","",E117*D117/100)</f>
        <v/>
      </c>
      <c r="J117" s="5">
        <f>IF(D117="","",F117*D117/100)</f>
        <v/>
      </c>
      <c r="K117" s="5">
        <f>IF(D117="","",G117*D117/100)</f>
        <v/>
      </c>
      <c r="L117" s="5">
        <f>IF(D117="","",H117*D117/100)</f>
        <v/>
      </c>
      <c r="M117" s="2" t="inlineStr"/>
      <c r="N117" s="2" t="inlineStr">
        <is>
          <t>TBCA/TACO; USDA FoodData Central (complementar)</t>
        </is>
      </c>
    </row>
    <row r="118">
      <c r="A118" s="2" t="inlineStr">
        <is>
          <t>Bebidas do protocolo</t>
        </is>
      </c>
      <c r="B118" s="2" t="inlineStr">
        <is>
          <t>Chá de hortelã sem açúcar</t>
        </is>
      </c>
      <c r="C118" s="2" t="inlineStr">
        <is>
          <t>1 xícara (~240 ml)</t>
        </is>
      </c>
      <c r="D118" s="3" t="n">
        <v>240</v>
      </c>
      <c r="E118" s="4" t="n">
        <v>1</v>
      </c>
      <c r="F118" s="4" t="n">
        <v>0</v>
      </c>
      <c r="G118" s="4" t="n">
        <v>0.2</v>
      </c>
      <c r="H118" s="4" t="n">
        <v>0</v>
      </c>
      <c r="I118" s="5">
        <f>IF(D118="","",E118*D118/100)</f>
        <v/>
      </c>
      <c r="J118" s="5">
        <f>IF(D118="","",F118*D118/100)</f>
        <v/>
      </c>
      <c r="K118" s="5">
        <f>IF(D118="","",G118*D118/100)</f>
        <v/>
      </c>
      <c r="L118" s="5">
        <f>IF(D118="","",H118*D118/100)</f>
        <v/>
      </c>
      <c r="M118" s="2" t="inlineStr"/>
      <c r="N118" s="2" t="inlineStr">
        <is>
          <t>TBCA/TACO; USDA FoodData Central (complementar)</t>
        </is>
      </c>
    </row>
    <row r="119">
      <c r="A119" s="2" t="inlineStr">
        <is>
          <t>Bebidas do protocolo</t>
        </is>
      </c>
      <c r="B119" s="2" t="inlineStr">
        <is>
          <t>Chá oolong sem açúcar</t>
        </is>
      </c>
      <c r="C119" s="2" t="inlineStr">
        <is>
          <t>1 xícara (~240 ml)</t>
        </is>
      </c>
      <c r="D119" s="3" t="n">
        <v>240</v>
      </c>
      <c r="E119" s="4" t="n">
        <v>1</v>
      </c>
      <c r="F119" s="4" t="n">
        <v>0</v>
      </c>
      <c r="G119" s="4" t="n">
        <v>0.2</v>
      </c>
      <c r="H119" s="4" t="n">
        <v>0</v>
      </c>
      <c r="I119" s="5">
        <f>IF(D119="","",E119*D119/100)</f>
        <v/>
      </c>
      <c r="J119" s="5">
        <f>IF(D119="","",F119*D119/100)</f>
        <v/>
      </c>
      <c r="K119" s="5">
        <f>IF(D119="","",G119*D119/100)</f>
        <v/>
      </c>
      <c r="L119" s="5">
        <f>IF(D119="","",H119*D119/100)</f>
        <v/>
      </c>
      <c r="M119" s="2" t="inlineStr"/>
      <c r="N119" s="2" t="inlineStr">
        <is>
          <t>TBCA/TACO; USDA FoodData Central (complementar)</t>
        </is>
      </c>
    </row>
    <row r="120">
      <c r="A120" s="2" t="inlineStr">
        <is>
          <t>Bebidas do protocolo</t>
        </is>
      </c>
      <c r="B120" s="2" t="inlineStr">
        <is>
          <t>Chá de cavalinha sem açúcar</t>
        </is>
      </c>
      <c r="C120" s="2" t="inlineStr">
        <is>
          <t>1 xícara (~240 ml)</t>
        </is>
      </c>
      <c r="D120" s="3" t="n">
        <v>240</v>
      </c>
      <c r="E120" s="4" t="n">
        <v>1</v>
      </c>
      <c r="F120" s="4" t="n">
        <v>0</v>
      </c>
      <c r="G120" s="4" t="n">
        <v>0.2</v>
      </c>
      <c r="H120" s="4" t="n">
        <v>0</v>
      </c>
      <c r="I120" s="5">
        <f>IF(D120="","",E120*D120/100)</f>
        <v/>
      </c>
      <c r="J120" s="5">
        <f>IF(D120="","",F120*D120/100)</f>
        <v/>
      </c>
      <c r="K120" s="5">
        <f>IF(D120="","",G120*D120/100)</f>
        <v/>
      </c>
      <c r="L120" s="5">
        <f>IF(D120="","",H120*D120/100)</f>
        <v/>
      </c>
      <c r="M120" s="2" t="inlineStr"/>
      <c r="N120" s="2" t="inlineStr">
        <is>
          <t>TBCA/TACO; USDA FoodData Central (complementar)</t>
        </is>
      </c>
    </row>
    <row r="121">
      <c r="A121" s="2" t="inlineStr">
        <is>
          <t>Bebidas do protocolo</t>
        </is>
      </c>
      <c r="B121" s="2" t="inlineStr">
        <is>
          <t>Chá de hibisco sem açúcar</t>
        </is>
      </c>
      <c r="C121" s="2" t="inlineStr">
        <is>
          <t>1 xícara (~240 ml)</t>
        </is>
      </c>
      <c r="D121" s="3" t="n">
        <v>240</v>
      </c>
      <c r="E121" s="4" t="n">
        <v>1</v>
      </c>
      <c r="F121" s="4" t="n">
        <v>0</v>
      </c>
      <c r="G121" s="4" t="n">
        <v>0.2</v>
      </c>
      <c r="H121" s="4" t="n">
        <v>0</v>
      </c>
      <c r="I121" s="5">
        <f>IF(D121="","",E121*D121/100)</f>
        <v/>
      </c>
      <c r="J121" s="5">
        <f>IF(D121="","",F121*D121/100)</f>
        <v/>
      </c>
      <c r="K121" s="5">
        <f>IF(D121="","",G121*D121/100)</f>
        <v/>
      </c>
      <c r="L121" s="5">
        <f>IF(D121="","",H121*D121/100)</f>
        <v/>
      </c>
      <c r="M121" s="2" t="inlineStr"/>
      <c r="N121" s="2" t="inlineStr">
        <is>
          <t>TBCA/TACO; USDA FoodData Central (complementar)</t>
        </is>
      </c>
    </row>
    <row r="122">
      <c r="A122" s="2" t="inlineStr">
        <is>
          <t>Bebidas do protocolo</t>
        </is>
      </c>
      <c r="B122" s="2" t="inlineStr">
        <is>
          <t>Café sem açúcar</t>
        </is>
      </c>
      <c r="C122" s="2" t="inlineStr">
        <is>
          <t>1 xícara (~240 ml)</t>
        </is>
      </c>
      <c r="D122" s="3" t="n">
        <v>240</v>
      </c>
      <c r="E122" s="4" t="n">
        <v>2</v>
      </c>
      <c r="F122" s="4" t="n">
        <v>0.1</v>
      </c>
      <c r="G122" s="4" t="n">
        <v>0</v>
      </c>
      <c r="H122" s="4" t="n">
        <v>0</v>
      </c>
      <c r="I122" s="5">
        <f>IF(D122="","",E122*D122/100)</f>
        <v/>
      </c>
      <c r="J122" s="5">
        <f>IF(D122="","",F122*D122/100)</f>
        <v/>
      </c>
      <c r="K122" s="5">
        <f>IF(D122="","",G122*D122/100)</f>
        <v/>
      </c>
      <c r="L122" s="5">
        <f>IF(D122="","",H122*D122/100)</f>
        <v/>
      </c>
      <c r="M122" s="2" t="inlineStr"/>
      <c r="N122" s="2" t="inlineStr">
        <is>
          <t>TBCA/TACO; USDA FoodData Central (complementar)</t>
        </is>
      </c>
    </row>
  </sheetData>
  <autoFilter ref="A1:N1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10" customWidth="1" min="2" max="2"/>
  </cols>
  <sheetData>
    <row r="1">
      <c r="A1" s="7" t="inlineStr">
        <is>
          <t>Fonte / critério</t>
        </is>
      </c>
      <c r="B1" s="7" t="inlineStr">
        <is>
          <t>Detalhe</t>
        </is>
      </c>
    </row>
    <row r="2">
      <c r="A2" s="2" t="inlineStr">
        <is>
          <t>Documento-base</t>
        </is>
      </c>
      <c r="B2" s="2" t="inlineStr">
        <is>
          <t>PROTOCOLO DETOX 7D — porções e lista de alimentos extraídas do PDF enviado. O documento não fornece macronutrientes nem calorias.</t>
        </is>
      </c>
    </row>
    <row r="3">
      <c r="A3" s="2" t="inlineStr">
        <is>
          <t>TBCA-USP</t>
        </is>
      </c>
      <c r="B3" s="2" t="inlineStr">
        <is>
          <t>https://www.tbca.net.br/ — referência brasileira preferencial para composição de alimentos.</t>
        </is>
      </c>
    </row>
    <row r="4">
      <c r="A4" s="2" t="inlineStr">
        <is>
          <t>TACO / NEPA-UNICAMP</t>
        </is>
      </c>
      <c r="B4" s="2" t="inlineStr">
        <is>
          <t>Tabela Brasileira de Composição de Alimentos (TACO), usada como referência brasileira complementar.</t>
        </is>
      </c>
    </row>
    <row r="5">
      <c r="A5" s="2" t="inlineStr">
        <is>
          <t>USDA FoodData Central</t>
        </is>
      </c>
      <c r="B5" s="2" t="inlineStr">
        <is>
          <t>https://fdc.nal.usda.gov/ — referência complementar para itens sem correspondência prática nas tabelas brasileiras.</t>
        </is>
      </c>
    </row>
    <row r="6">
      <c r="A6" s="2" t="inlineStr">
        <is>
          <t>Padronização</t>
        </is>
      </c>
      <c r="B6" s="2" t="inlineStr">
        <is>
          <t>Valores por 100 g/ml foram arredondados. Porções são calculadas automaticamente quando o PDF fornece quantidade objetiva.</t>
        </is>
      </c>
    </row>
    <row r="7">
      <c r="A7" s="2" t="inlineStr">
        <is>
          <t>Atenção</t>
        </is>
      </c>
      <c r="B7" s="2" t="inlineStr">
        <is>
          <t>Valores são estimativas: preparo, cultivar, marca, teor de água e cocção alteram os resultados. Bacon, tofu, pasta de amendoim, tapioca e própolis podem variar bastante.</t>
        </is>
      </c>
    </row>
    <row r="8">
      <c r="A8" s="2" t="inlineStr">
        <is>
          <t>Itens “à vontade”</t>
        </is>
      </c>
      <c r="B8" s="2" t="inlineStr">
        <is>
          <t>Mantidos com valores por 100 g. Para legumes, o PDF estabelece até ~200 g; a planilha também calcula essa porção.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20" customWidth="1" min="2" max="2"/>
  </cols>
  <sheetData>
    <row r="1">
      <c r="A1" s="8" t="inlineStr">
        <is>
          <t>Inventário nutricional — Protocolo Detox 7D</t>
        </is>
      </c>
    </row>
    <row r="2">
      <c r="A2" s="9" t="inlineStr">
        <is>
          <t>Categoria</t>
        </is>
      </c>
      <c r="B2" s="9" t="inlineStr">
        <is>
          <t>Quantidade de itens</t>
        </is>
      </c>
      <c r="C2" s="9" t="inlineStr"/>
      <c r="D2" s="9" t="inlineStr"/>
    </row>
    <row r="3">
      <c r="A3" t="inlineStr">
        <is>
          <t>Proteínas</t>
        </is>
      </c>
      <c r="B3" t="n">
        <v>14</v>
      </c>
    </row>
    <row r="4">
      <c r="A4" t="inlineStr">
        <is>
          <t>Carboidratos complexos</t>
        </is>
      </c>
      <c r="B4" t="n">
        <v>15</v>
      </c>
    </row>
    <row r="5">
      <c r="A5" t="inlineStr">
        <is>
          <t>Frutas</t>
        </is>
      </c>
      <c r="B5" t="n">
        <v>19</v>
      </c>
    </row>
    <row r="6">
      <c r="A6" t="inlineStr">
        <is>
          <t>Gorduras boas</t>
        </is>
      </c>
      <c r="B6" t="n">
        <v>13</v>
      </c>
    </row>
    <row r="7">
      <c r="A7" t="inlineStr">
        <is>
          <t>Folhas verdes</t>
        </is>
      </c>
      <c r="B7" t="n">
        <v>15</v>
      </c>
    </row>
    <row r="8">
      <c r="A8" t="inlineStr">
        <is>
          <t>Legumes low-carb</t>
        </is>
      </c>
      <c r="B8" t="n">
        <v>22</v>
      </c>
    </row>
    <row r="9">
      <c r="A9" t="inlineStr">
        <is>
          <t>Temperos e extras</t>
        </is>
      </c>
      <c r="B9" t="n">
        <v>17</v>
      </c>
    </row>
    <row r="10">
      <c r="A10" t="inlineStr">
        <is>
          <t>Bebidas do protocolo</t>
        </is>
      </c>
      <c r="B10" t="n">
        <v>6</v>
      </c>
    </row>
    <row r="11">
      <c r="A11" s="10" t="inlineStr">
        <is>
          <t>TOTAL</t>
        </is>
      </c>
      <c r="B11" s="10" t="n">
        <v>121</v>
      </c>
      <c r="C11" s="10" t="n"/>
      <c r="D11" s="10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2026-10-07T10:35:55Z</dcterms:created>
  <dcterms:modified xmlns:dcterms="http://purl.org/dc/terms/" xmlns:xsi="http://www.w3.org/2001/XMLSchema-instance" xsi:type="dcterms:W3CDTF">2026-10-07T10:35:55Z</dcterms:modified>
</cp:coreProperties>
</file>